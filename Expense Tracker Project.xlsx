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b5c5937d8185f03f/Documents/Balaji's files/MS EXCEL/"/>
    </mc:Choice>
  </mc:AlternateContent>
  <xr:revisionPtr revIDLastSave="744" documentId="8_{39829D93-B6E6-43F9-8D04-5DAF0DF3308A}" xr6:coauthVersionLast="47" xr6:coauthVersionMax="47" xr10:uidLastSave="{46BD084B-4121-4783-93E1-8F7A90B0A208}"/>
  <bookViews>
    <workbookView xWindow="-108" yWindow="-108" windowWidth="23256" windowHeight="12456" activeTab="1" xr2:uid="{7E16D521-AABD-4385-B718-8B46F0E563AA}"/>
  </bookViews>
  <sheets>
    <sheet name="Sheet1" sheetId="4" r:id="rId1"/>
    <sheet name="Expense Data" sheetId="1" r:id="rId2"/>
    <sheet name="Analysis" sheetId="2" r:id="rId3"/>
    <sheet name="Dashboard" sheetId="3" r:id="rId4"/>
  </sheets>
  <definedNames>
    <definedName name="_xlchart.v1.0" hidden="1">Analysis!$B$12:$B$19</definedName>
    <definedName name="_xlchart.v1.1" hidden="1">Analysis!$C$11</definedName>
    <definedName name="_xlchart.v1.2" hidden="1">Analysis!$C$12:$C$19</definedName>
    <definedName name="Slicer_Amount">#N/A</definedName>
    <definedName name="Slicer_Category">#N/A</definedName>
    <definedName name="Slicer_Month">#N/A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13" i="2"/>
  <c r="C14" i="2"/>
  <c r="C15" i="2"/>
  <c r="C16" i="2"/>
  <c r="C17" i="2"/>
  <c r="C18" i="2"/>
  <c r="C25" i="2"/>
  <c r="C26" i="2"/>
  <c r="C27" i="2"/>
  <c r="C28" i="2"/>
</calcChain>
</file>

<file path=xl/sharedStrings.xml><?xml version="1.0" encoding="utf-8"?>
<sst xmlns="http://schemas.openxmlformats.org/spreadsheetml/2006/main" count="437" uniqueCount="94">
  <si>
    <t>Date</t>
  </si>
  <si>
    <t>Category</t>
  </si>
  <si>
    <t>Description</t>
  </si>
  <si>
    <t>Payment Mode</t>
  </si>
  <si>
    <t>Amount</t>
  </si>
  <si>
    <t>Month</t>
  </si>
  <si>
    <t>Food</t>
  </si>
  <si>
    <t>Breakfast</t>
  </si>
  <si>
    <t>UPI</t>
  </si>
  <si>
    <t>January</t>
  </si>
  <si>
    <t>Transport</t>
  </si>
  <si>
    <t>Bus Ticket</t>
  </si>
  <si>
    <t>Cash</t>
  </si>
  <si>
    <t>Shopping</t>
  </si>
  <si>
    <t>Notebook Purchase</t>
  </si>
  <si>
    <t>Card</t>
  </si>
  <si>
    <t>Lunch</t>
  </si>
  <si>
    <t>Entertainment</t>
  </si>
  <si>
    <t>Movie Ticket</t>
  </si>
  <si>
    <t>Bills</t>
  </si>
  <si>
    <t>Mobile Recharge</t>
  </si>
  <si>
    <t>Snacks</t>
  </si>
  <si>
    <t>Auto Fare</t>
  </si>
  <si>
    <t>T-shirt</t>
  </si>
  <si>
    <t>Dinner</t>
  </si>
  <si>
    <t>Health</t>
  </si>
  <si>
    <t>Medicine</t>
  </si>
  <si>
    <t>Coffee</t>
  </si>
  <si>
    <t>Train Ticket</t>
  </si>
  <si>
    <t>OTT Subscription</t>
  </si>
  <si>
    <t>Pizza</t>
  </si>
  <si>
    <t>Shoes</t>
  </si>
  <si>
    <t>Electricity Bill</t>
  </si>
  <si>
    <t>Ice Cream</t>
  </si>
  <si>
    <t>Cab Fare</t>
  </si>
  <si>
    <t>Education</t>
  </si>
  <si>
    <t>Excel Course</t>
  </si>
  <si>
    <t>Backpack</t>
  </si>
  <si>
    <t>Gaming</t>
  </si>
  <si>
    <t>Doctor Visit</t>
  </si>
  <si>
    <t>WiFi Recharge</t>
  </si>
  <si>
    <t>Metro Card</t>
  </si>
  <si>
    <t>Earphones</t>
  </si>
  <si>
    <t>Concert Ticket</t>
  </si>
  <si>
    <t>February</t>
  </si>
  <si>
    <t>Water Bill</t>
  </si>
  <si>
    <t>Jeans</t>
  </si>
  <si>
    <t>Power BI Course</t>
  </si>
  <si>
    <t>Bus Pass</t>
  </si>
  <si>
    <t>Juice</t>
  </si>
  <si>
    <t>Vitamins</t>
  </si>
  <si>
    <t>Cricket Match</t>
  </si>
  <si>
    <t>Watch</t>
  </si>
  <si>
    <t>Gas Bill</t>
  </si>
  <si>
    <t>Cafe Visit</t>
  </si>
  <si>
    <t>Theme Park</t>
  </si>
  <si>
    <t>Books</t>
  </si>
  <si>
    <t>Metro Ticket</t>
  </si>
  <si>
    <t>First Aid</t>
  </si>
  <si>
    <t>Online Workshop</t>
  </si>
  <si>
    <t>DTH Recharge</t>
  </si>
  <si>
    <t>Keyboard</t>
  </si>
  <si>
    <t>Fuel</t>
  </si>
  <si>
    <t>Music App</t>
  </si>
  <si>
    <t>Burger</t>
  </si>
  <si>
    <t>Dental Checkup</t>
  </si>
  <si>
    <t>March</t>
  </si>
  <si>
    <t>Hoodie</t>
  </si>
  <si>
    <t>Movie</t>
  </si>
  <si>
    <t>Data Analytics Book</t>
  </si>
  <si>
    <t>Mouse</t>
  </si>
  <si>
    <t>Sunglasses</t>
  </si>
  <si>
    <t>Internet Bill</t>
  </si>
  <si>
    <t>Excel Practice File</t>
  </si>
  <si>
    <t>Office Chair</t>
  </si>
  <si>
    <t>IPL Ticket</t>
  </si>
  <si>
    <t>Metro Recharge</t>
  </si>
  <si>
    <t>Eye Checkup</t>
  </si>
  <si>
    <t>Pendrive</t>
  </si>
  <si>
    <t>Subscription</t>
  </si>
  <si>
    <t>April</t>
  </si>
  <si>
    <t>Laptop Bag</t>
  </si>
  <si>
    <t>Bowling</t>
  </si>
  <si>
    <t>Smart Watch</t>
  </si>
  <si>
    <t xml:space="preserve">Category </t>
  </si>
  <si>
    <t>Total</t>
  </si>
  <si>
    <t>Total Expense</t>
  </si>
  <si>
    <t>Personal Expense Tracker Dashboard</t>
  </si>
  <si>
    <t>Row Labels</t>
  </si>
  <si>
    <t>Grand Total</t>
  </si>
  <si>
    <t>Sum of Amount</t>
  </si>
  <si>
    <t>EXPENSES ANALYSIS</t>
  </si>
  <si>
    <t>EXPENSES BY CATEGORY</t>
  </si>
  <si>
    <t>EXPENSES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</si>
</sst>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6" x14ac:knownFonts="1">
    <font>
      <sz val="11"/>
      <color theme="1"/>
      <name val="Aptos Narrow"/>
      <family val="2"/>
      <scheme val="minor"/>
    </font>
    <font>
      <sz val="20"/>
      <color theme="0"/>
      <name val="Aptos Narrow"/>
      <family val="2"/>
      <scheme val="minor"/>
    </font>
    <font>
      <sz val="11"/>
      <color theme="1"/>
      <name val="Aptos Narrow"/>
      <family val="2"/>
      <scheme val="minor"/>
    </font>
    <font>
      <sz val="11"/>
      <color theme="0"/>
      <name val="Aptos Narrow"/>
      <family val="2"/>
      <scheme val="minor"/>
    </font>
    <font>
      <sz val="24"/>
      <color theme="0"/>
      <name val="Aptos Narrow"/>
      <family val="2"/>
    </font>
    <font>
      <sz val="11"/>
      <color theme="0"/>
      <name val="Aptos Narrow"/>
      <family val="2"/>
    </font>
  </fonts>
  <fills count="5">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0" fillId="0" borderId="0" xfId="0" applyAlignment="1">
      <alignment horizontal="center"/>
    </xf>
    <xf numFmtId="14" fontId="0" fillId="0" borderId="0" xfId="0" applyNumberFormat="1" applyAlignment="1">
      <alignment horizontal="center"/>
    </xf>
    <xf numFmtId="0" fontId="1" fillId="2" borderId="0" xfId="0" applyFont="1" applyFill="1" applyAlignment="1">
      <alignment horizontal="center"/>
    </xf>
    <xf numFmtId="0" fontId="0" fillId="3" borderId="0" xfId="0" applyFill="1"/>
    <xf numFmtId="0" fontId="0" fillId="3" borderId="0" xfId="0"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2" borderId="0" xfId="0" applyFill="1" applyAlignment="1"/>
    <xf numFmtId="0" fontId="0" fillId="0" borderId="0" xfId="0" applyAlignment="1"/>
    <xf numFmtId="0" fontId="0" fillId="2" borderId="0" xfId="0" applyFill="1" applyAlignment="1">
      <alignment horizontal="center"/>
    </xf>
    <xf numFmtId="0" fontId="3" fillId="2" borderId="0" xfId="0" applyFont="1" applyFill="1" applyAlignment="1">
      <alignment horizontal="center"/>
    </xf>
    <xf numFmtId="164" fontId="0" fillId="3" borderId="0" xfId="0" applyNumberFormat="1" applyFill="1"/>
    <xf numFmtId="44" fontId="0" fillId="3" borderId="0" xfId="1" applyFont="1" applyFill="1"/>
    <xf numFmtId="0" fontId="0" fillId="3" borderId="3" xfId="0" applyFill="1" applyBorder="1" applyAlignment="1">
      <alignment horizontal="center"/>
    </xf>
    <xf numFmtId="0" fontId="3" fillId="2" borderId="7" xfId="0" applyFont="1" applyFill="1" applyBorder="1" applyAlignment="1">
      <alignment horizontal="center"/>
    </xf>
    <xf numFmtId="0" fontId="0" fillId="3" borderId="2" xfId="0" applyFill="1" applyBorder="1" applyAlignment="1">
      <alignment horizontal="left"/>
    </xf>
    <xf numFmtId="0" fontId="3" fillId="2" borderId="6" xfId="0" applyFont="1" applyFill="1" applyBorder="1" applyAlignment="1">
      <alignment horizontal="left"/>
    </xf>
    <xf numFmtId="0" fontId="0" fillId="3" borderId="1" xfId="0" applyFill="1" applyBorder="1" applyAlignment="1">
      <alignment horizontal="left"/>
    </xf>
    <xf numFmtId="0" fontId="0" fillId="3" borderId="1" xfId="0" applyFill="1" applyBorder="1" applyAlignment="1">
      <alignment horizontal="center"/>
    </xf>
    <xf numFmtId="0" fontId="0" fillId="4" borderId="1" xfId="0" applyFill="1" applyBorder="1" applyAlignment="1">
      <alignment horizontal="left"/>
    </xf>
    <xf numFmtId="0" fontId="0" fillId="4" borderId="1" xfId="0" applyFill="1" applyBorder="1" applyAlignment="1">
      <alignment horizontal="center"/>
    </xf>
    <xf numFmtId="0" fontId="3" fillId="2" borderId="1" xfId="0" applyFont="1" applyFill="1" applyBorder="1" applyAlignment="1">
      <alignment horizontal="left"/>
    </xf>
    <xf numFmtId="0" fontId="3" fillId="2" borderId="1" xfId="0" applyFont="1" applyFill="1" applyBorder="1" applyAlignment="1">
      <alignment horizontal="center"/>
    </xf>
    <xf numFmtId="0" fontId="0" fillId="4" borderId="4" xfId="0" applyFont="1" applyFill="1" applyBorder="1" applyAlignment="1">
      <alignment horizontal="left"/>
    </xf>
    <xf numFmtId="0" fontId="0" fillId="4" borderId="5" xfId="0" applyFont="1" applyFill="1" applyBorder="1" applyAlignment="1">
      <alignment horizontal="center"/>
    </xf>
    <xf numFmtId="0" fontId="0" fillId="4" borderId="6" xfId="0" applyFont="1" applyFill="1" applyBorder="1" applyAlignment="1">
      <alignment horizontal="left"/>
    </xf>
    <xf numFmtId="0" fontId="0" fillId="4" borderId="7" xfId="0" applyFont="1" applyFill="1" applyBorder="1" applyAlignment="1">
      <alignment horizontal="center"/>
    </xf>
    <xf numFmtId="0" fontId="4" fillId="2" borderId="0" xfId="0" applyFont="1" applyFill="1" applyAlignment="1">
      <alignment horizontal="center"/>
    </xf>
    <xf numFmtId="0" fontId="5" fillId="2" borderId="0" xfId="0" applyFont="1" applyFill="1" applyAlignment="1">
      <alignment horizontal="center"/>
    </xf>
  </cellXfs>
  <cellStyles count="2">
    <cellStyle name="Currency" xfId="1" builtinId="4"/>
    <cellStyle name="Normal" xfId="0" builtinId="0"/>
  </cellStyles>
  <dxfs count="19">
    <dxf>
      <fill>
        <patternFill patternType="solid">
          <fgColor indexed="64"/>
          <bgColor theme="0"/>
        </patternFill>
      </fill>
      <alignment horizontal="center"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4"/>
        </patternFill>
      </fill>
      <alignment horizontal="left" vertical="bottom" textRotation="0" wrapText="0"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4"/>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 Project.xlsx]Sheet1!PivotTable1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Sheet1!$A$2:$A$9</c:f>
              <c:strCache>
                <c:ptCount val="7"/>
                <c:pt idx="0">
                  <c:v>Bills</c:v>
                </c:pt>
                <c:pt idx="1">
                  <c:v>Education</c:v>
                </c:pt>
                <c:pt idx="2">
                  <c:v>Entertainment</c:v>
                </c:pt>
                <c:pt idx="3">
                  <c:v>Food</c:v>
                </c:pt>
                <c:pt idx="4">
                  <c:v>Health</c:v>
                </c:pt>
                <c:pt idx="5">
                  <c:v>Shopping</c:v>
                </c:pt>
                <c:pt idx="6">
                  <c:v>Transport</c:v>
                </c:pt>
              </c:strCache>
            </c:strRef>
          </c:cat>
          <c:val>
            <c:numRef>
              <c:f>Sheet1!$B$2:$B$9</c:f>
              <c:numCache>
                <c:formatCode>General</c:formatCode>
                <c:ptCount val="7"/>
                <c:pt idx="0">
                  <c:v>7705</c:v>
                </c:pt>
                <c:pt idx="1">
                  <c:v>4046</c:v>
                </c:pt>
                <c:pt idx="2">
                  <c:v>8467</c:v>
                </c:pt>
                <c:pt idx="3">
                  <c:v>6665</c:v>
                </c:pt>
                <c:pt idx="4">
                  <c:v>2940</c:v>
                </c:pt>
                <c:pt idx="5">
                  <c:v>21718</c:v>
                </c:pt>
                <c:pt idx="6">
                  <c:v>4580</c:v>
                </c:pt>
              </c:numCache>
            </c:numRef>
          </c:val>
          <c:extLst>
            <c:ext xmlns:c16="http://schemas.microsoft.com/office/drawing/2014/chart" uri="{C3380CC4-5D6E-409C-BE32-E72D297353CC}">
              <c16:uniqueId val="{00000000-89DD-4E20-805B-8923045F4894}"/>
            </c:ext>
          </c:extLst>
        </c:ser>
        <c:dLbls>
          <c:showLegendKey val="0"/>
          <c:showVal val="0"/>
          <c:showCatName val="0"/>
          <c:showSerName val="0"/>
          <c:showPercent val="0"/>
          <c:showBubbleSize val="0"/>
        </c:dLbls>
        <c:gapWidth val="219"/>
        <c:axId val="1922258208"/>
        <c:axId val="1922270688"/>
      </c:barChart>
      <c:valAx>
        <c:axId val="192227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58208"/>
        <c:crosses val="autoZero"/>
        <c:crossBetween val="between"/>
      </c:valAx>
      <c:catAx>
        <c:axId val="1922258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27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t>Expenses by Category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lotArea>
      <c:layout/>
      <c:barChart>
        <c:barDir val="bar"/>
        <c:grouping val="clustered"/>
        <c:varyColors val="0"/>
        <c:ser>
          <c:idx val="0"/>
          <c:order val="0"/>
          <c:tx>
            <c:strRef>
              <c:f>Analysis!$B$12</c:f>
              <c:strCache>
                <c:ptCount val="1"/>
                <c:pt idx="0">
                  <c:v>Entertainment</c:v>
                </c:pt>
              </c:strCache>
            </c:strRef>
          </c:tx>
          <c:spPr>
            <a:solidFill>
              <a:schemeClr val="accent4">
                <a:tint val="46000"/>
              </a:schemeClr>
            </a:solidFill>
            <a:ln>
              <a:noFill/>
            </a:ln>
            <a:effectLst/>
          </c:spPr>
          <c:invertIfNegative val="0"/>
          <c:dLbls>
            <c:dLbl>
              <c:idx val="0"/>
              <c:layout>
                <c:manualLayout>
                  <c:x val="3.4403550568135433E-2"/>
                  <c:y val="5.228758169934640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D-4B8F-9603-85C5508CF5DE}"/>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Analysis!$C$11</c:f>
              <c:strCache>
                <c:ptCount val="1"/>
                <c:pt idx="0">
                  <c:v>Total</c:v>
                </c:pt>
              </c:strCache>
            </c:strRef>
          </c:cat>
          <c:val>
            <c:numRef>
              <c:f>Analysis!$C$12</c:f>
              <c:numCache>
                <c:formatCode>General</c:formatCode>
                <c:ptCount val="1"/>
                <c:pt idx="0">
                  <c:v>8467</c:v>
                </c:pt>
              </c:numCache>
            </c:numRef>
          </c:val>
          <c:extLst>
            <c:ext xmlns:c16="http://schemas.microsoft.com/office/drawing/2014/chart" uri="{C3380CC4-5D6E-409C-BE32-E72D297353CC}">
              <c16:uniqueId val="{0000000E-12ED-4B8F-9603-85C5508CF5DE}"/>
            </c:ext>
          </c:extLst>
        </c:ser>
        <c:ser>
          <c:idx val="1"/>
          <c:order val="1"/>
          <c:tx>
            <c:strRef>
              <c:f>Analysis!$B$13</c:f>
              <c:strCache>
                <c:ptCount val="1"/>
                <c:pt idx="0">
                  <c:v>Bills</c:v>
                </c:pt>
              </c:strCache>
            </c:strRef>
          </c:tx>
          <c:spPr>
            <a:solidFill>
              <a:schemeClr val="accent4">
                <a:tint val="62000"/>
              </a:schemeClr>
            </a:solidFill>
            <a:ln>
              <a:noFill/>
            </a:ln>
            <a:effectLst/>
          </c:spPr>
          <c:invertIfNegative val="0"/>
          <c:cat>
            <c:strRef>
              <c:f>Analysis!$C$11</c:f>
              <c:strCache>
                <c:ptCount val="1"/>
                <c:pt idx="0">
                  <c:v>Total</c:v>
                </c:pt>
              </c:strCache>
            </c:strRef>
          </c:cat>
          <c:val>
            <c:numRef>
              <c:f>Analysis!$C$13</c:f>
              <c:numCache>
                <c:formatCode>General</c:formatCode>
                <c:ptCount val="1"/>
                <c:pt idx="0">
                  <c:v>7705</c:v>
                </c:pt>
              </c:numCache>
            </c:numRef>
          </c:val>
          <c:extLst>
            <c:ext xmlns:c16="http://schemas.microsoft.com/office/drawing/2014/chart" uri="{C3380CC4-5D6E-409C-BE32-E72D297353CC}">
              <c16:uniqueId val="{0000000F-12ED-4B8F-9603-85C5508CF5DE}"/>
            </c:ext>
          </c:extLst>
        </c:ser>
        <c:ser>
          <c:idx val="2"/>
          <c:order val="2"/>
          <c:tx>
            <c:strRef>
              <c:f>Analysis!$B$14</c:f>
              <c:strCache>
                <c:ptCount val="1"/>
                <c:pt idx="0">
                  <c:v>Food</c:v>
                </c:pt>
              </c:strCache>
            </c:strRef>
          </c:tx>
          <c:spPr>
            <a:solidFill>
              <a:schemeClr val="accent4">
                <a:tint val="77000"/>
              </a:schemeClr>
            </a:solidFill>
            <a:ln>
              <a:noFill/>
            </a:ln>
            <a:effectLst/>
          </c:spPr>
          <c:invertIfNegative val="0"/>
          <c:cat>
            <c:strRef>
              <c:f>Analysis!$C$11</c:f>
              <c:strCache>
                <c:ptCount val="1"/>
                <c:pt idx="0">
                  <c:v>Total</c:v>
                </c:pt>
              </c:strCache>
            </c:strRef>
          </c:cat>
          <c:val>
            <c:numRef>
              <c:f>Analysis!$C$14</c:f>
              <c:numCache>
                <c:formatCode>General</c:formatCode>
                <c:ptCount val="1"/>
                <c:pt idx="0">
                  <c:v>6665</c:v>
                </c:pt>
              </c:numCache>
            </c:numRef>
          </c:val>
          <c:extLst>
            <c:ext xmlns:c16="http://schemas.microsoft.com/office/drawing/2014/chart" uri="{C3380CC4-5D6E-409C-BE32-E72D297353CC}">
              <c16:uniqueId val="{00000010-12ED-4B8F-9603-85C5508CF5DE}"/>
            </c:ext>
          </c:extLst>
        </c:ser>
        <c:ser>
          <c:idx val="3"/>
          <c:order val="3"/>
          <c:tx>
            <c:strRef>
              <c:f>Analysis!$B$15</c:f>
              <c:strCache>
                <c:ptCount val="1"/>
                <c:pt idx="0">
                  <c:v>Transport</c:v>
                </c:pt>
              </c:strCache>
            </c:strRef>
          </c:tx>
          <c:spPr>
            <a:solidFill>
              <a:schemeClr val="accent4">
                <a:tint val="93000"/>
              </a:schemeClr>
            </a:solidFill>
            <a:ln>
              <a:noFill/>
            </a:ln>
            <a:effectLst/>
          </c:spPr>
          <c:invertIfNegative val="0"/>
          <c:cat>
            <c:strRef>
              <c:f>Analysis!$C$11</c:f>
              <c:strCache>
                <c:ptCount val="1"/>
                <c:pt idx="0">
                  <c:v>Total</c:v>
                </c:pt>
              </c:strCache>
            </c:strRef>
          </c:cat>
          <c:val>
            <c:numRef>
              <c:f>Analysis!$C$15</c:f>
              <c:numCache>
                <c:formatCode>General</c:formatCode>
                <c:ptCount val="1"/>
                <c:pt idx="0">
                  <c:v>4580</c:v>
                </c:pt>
              </c:numCache>
            </c:numRef>
          </c:val>
          <c:extLst>
            <c:ext xmlns:c16="http://schemas.microsoft.com/office/drawing/2014/chart" uri="{C3380CC4-5D6E-409C-BE32-E72D297353CC}">
              <c16:uniqueId val="{00000011-12ED-4B8F-9603-85C5508CF5DE}"/>
            </c:ext>
          </c:extLst>
        </c:ser>
        <c:ser>
          <c:idx val="4"/>
          <c:order val="4"/>
          <c:tx>
            <c:strRef>
              <c:f>Analysis!$B$16</c:f>
              <c:strCache>
                <c:ptCount val="1"/>
                <c:pt idx="0">
                  <c:v>Shopping</c:v>
                </c:pt>
              </c:strCache>
            </c:strRef>
          </c:tx>
          <c:spPr>
            <a:solidFill>
              <a:schemeClr val="accent4">
                <a:shade val="92000"/>
              </a:schemeClr>
            </a:solidFill>
            <a:ln>
              <a:noFill/>
            </a:ln>
            <a:effectLst/>
          </c:spPr>
          <c:invertIfNegative val="0"/>
          <c:cat>
            <c:strRef>
              <c:f>Analysis!$C$11</c:f>
              <c:strCache>
                <c:ptCount val="1"/>
                <c:pt idx="0">
                  <c:v>Total</c:v>
                </c:pt>
              </c:strCache>
            </c:strRef>
          </c:cat>
          <c:val>
            <c:numRef>
              <c:f>Analysis!$C$16</c:f>
              <c:numCache>
                <c:formatCode>General</c:formatCode>
                <c:ptCount val="1"/>
                <c:pt idx="0">
                  <c:v>21718</c:v>
                </c:pt>
              </c:numCache>
            </c:numRef>
          </c:val>
          <c:extLst>
            <c:ext xmlns:c16="http://schemas.microsoft.com/office/drawing/2014/chart" uri="{C3380CC4-5D6E-409C-BE32-E72D297353CC}">
              <c16:uniqueId val="{00000012-12ED-4B8F-9603-85C5508CF5DE}"/>
            </c:ext>
          </c:extLst>
        </c:ser>
        <c:ser>
          <c:idx val="5"/>
          <c:order val="5"/>
          <c:tx>
            <c:strRef>
              <c:f>Analysis!$B$17</c:f>
              <c:strCache>
                <c:ptCount val="1"/>
                <c:pt idx="0">
                  <c:v>Education</c:v>
                </c:pt>
              </c:strCache>
            </c:strRef>
          </c:tx>
          <c:spPr>
            <a:solidFill>
              <a:schemeClr val="accent4">
                <a:shade val="76000"/>
              </a:schemeClr>
            </a:solidFill>
            <a:ln>
              <a:noFill/>
            </a:ln>
            <a:effectLst/>
          </c:spPr>
          <c:invertIfNegative val="0"/>
          <c:cat>
            <c:strRef>
              <c:f>Analysis!$C$11</c:f>
              <c:strCache>
                <c:ptCount val="1"/>
                <c:pt idx="0">
                  <c:v>Total</c:v>
                </c:pt>
              </c:strCache>
            </c:strRef>
          </c:cat>
          <c:val>
            <c:numRef>
              <c:f>Analysis!$C$17</c:f>
              <c:numCache>
                <c:formatCode>General</c:formatCode>
                <c:ptCount val="1"/>
                <c:pt idx="0">
                  <c:v>4046</c:v>
                </c:pt>
              </c:numCache>
            </c:numRef>
          </c:val>
          <c:extLst>
            <c:ext xmlns:c16="http://schemas.microsoft.com/office/drawing/2014/chart" uri="{C3380CC4-5D6E-409C-BE32-E72D297353CC}">
              <c16:uniqueId val="{00000013-12ED-4B8F-9603-85C5508CF5DE}"/>
            </c:ext>
          </c:extLst>
        </c:ser>
        <c:ser>
          <c:idx val="6"/>
          <c:order val="6"/>
          <c:tx>
            <c:strRef>
              <c:f>Analysis!$B$18</c:f>
              <c:strCache>
                <c:ptCount val="1"/>
                <c:pt idx="0">
                  <c:v>Health</c:v>
                </c:pt>
              </c:strCache>
            </c:strRef>
          </c:tx>
          <c:spPr>
            <a:solidFill>
              <a:schemeClr val="accent4">
                <a:shade val="61000"/>
              </a:schemeClr>
            </a:solidFill>
            <a:ln>
              <a:noFill/>
            </a:ln>
            <a:effectLst/>
          </c:spPr>
          <c:invertIfNegative val="0"/>
          <c:cat>
            <c:strRef>
              <c:f>Analysis!$C$11</c:f>
              <c:strCache>
                <c:ptCount val="1"/>
                <c:pt idx="0">
                  <c:v>Total</c:v>
                </c:pt>
              </c:strCache>
            </c:strRef>
          </c:cat>
          <c:val>
            <c:numRef>
              <c:f>Analysis!$C$18</c:f>
              <c:numCache>
                <c:formatCode>General</c:formatCode>
                <c:ptCount val="1"/>
                <c:pt idx="0">
                  <c:v>2940</c:v>
                </c:pt>
              </c:numCache>
            </c:numRef>
          </c:val>
          <c:extLst>
            <c:ext xmlns:c16="http://schemas.microsoft.com/office/drawing/2014/chart" uri="{C3380CC4-5D6E-409C-BE32-E72D297353CC}">
              <c16:uniqueId val="{00000014-12ED-4B8F-9603-85C5508CF5DE}"/>
            </c:ext>
          </c:extLst>
        </c:ser>
        <c:ser>
          <c:idx val="7"/>
          <c:order val="7"/>
          <c:tx>
            <c:strRef>
              <c:f>Analysis!$B$19</c:f>
              <c:strCache>
                <c:ptCount val="1"/>
                <c:pt idx="0">
                  <c:v>Grand Total</c:v>
                </c:pt>
              </c:strCache>
            </c:strRef>
          </c:tx>
          <c:spPr>
            <a:solidFill>
              <a:schemeClr val="accent4">
                <a:shade val="45000"/>
              </a:schemeClr>
            </a:solidFill>
            <a:ln>
              <a:noFill/>
            </a:ln>
            <a:effectLst/>
          </c:spPr>
          <c:invertIfNegative val="0"/>
          <c:cat>
            <c:strRef>
              <c:f>Analysis!$C$11</c:f>
              <c:strCache>
                <c:ptCount val="1"/>
                <c:pt idx="0">
                  <c:v>Total</c:v>
                </c:pt>
              </c:strCache>
            </c:strRef>
          </c:cat>
          <c:val>
            <c:numRef>
              <c:f>Analysis!$C$19</c:f>
              <c:numCache>
                <c:formatCode>General</c:formatCode>
                <c:ptCount val="1"/>
                <c:pt idx="0">
                  <c:v>56121</c:v>
                </c:pt>
              </c:numCache>
            </c:numRef>
          </c:val>
          <c:extLst>
            <c:ext xmlns:c16="http://schemas.microsoft.com/office/drawing/2014/chart" uri="{C3380CC4-5D6E-409C-BE32-E72D297353CC}">
              <c16:uniqueId val="{00000015-12ED-4B8F-9603-85C5508CF5DE}"/>
            </c:ext>
          </c:extLst>
        </c:ser>
        <c:dLbls>
          <c:showLegendKey val="0"/>
          <c:showVal val="0"/>
          <c:showCatName val="0"/>
          <c:showSerName val="0"/>
          <c:showPercent val="0"/>
          <c:showBubbleSize val="0"/>
        </c:dLbls>
        <c:gapWidth val="247"/>
        <c:overlap val="-20"/>
        <c:axId val="1930151808"/>
        <c:axId val="1930146048"/>
      </c:barChart>
      <c:valAx>
        <c:axId val="1930146048"/>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0151808"/>
        <c:crossBetween val="between"/>
      </c:valAx>
      <c:catAx>
        <c:axId val="193015180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1930146048"/>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t>Monthly Expense Trend</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8.715981874412751E-2"/>
          <c:y val="0.199241916525871"/>
          <c:w val="0.91284018125587252"/>
          <c:h val="0.65813591762481483"/>
        </c:manualLayout>
      </c:layout>
      <c:lineChart>
        <c:grouping val="standard"/>
        <c:varyColors val="0"/>
        <c:ser>
          <c:idx val="0"/>
          <c:order val="0"/>
          <c:tx>
            <c:strRef>
              <c:f>Analysis!$C$24</c:f>
              <c:strCache>
                <c:ptCount val="1"/>
                <c:pt idx="0">
                  <c:v>Total Expense</c:v>
                </c:pt>
              </c:strCache>
            </c:strRef>
          </c:tx>
          <c:spPr>
            <a:ln w="28575" cap="rnd">
              <a:solidFill>
                <a:schemeClr val="bg1"/>
              </a:solidFill>
              <a:round/>
            </a:ln>
            <a:effectLst/>
          </c:spPr>
          <c:marker>
            <c:symbol val="none"/>
          </c:marker>
          <c:cat>
            <c:strRef>
              <c:f>Analysis!$B$25:$B$28</c:f>
              <c:strCache>
                <c:ptCount val="4"/>
                <c:pt idx="0">
                  <c:v>January</c:v>
                </c:pt>
                <c:pt idx="1">
                  <c:v>February</c:v>
                </c:pt>
                <c:pt idx="2">
                  <c:v>March</c:v>
                </c:pt>
                <c:pt idx="3">
                  <c:v>April</c:v>
                </c:pt>
              </c:strCache>
            </c:strRef>
          </c:cat>
          <c:val>
            <c:numRef>
              <c:f>Analysis!$C$25:$C$28</c:f>
              <c:numCache>
                <c:formatCode>General</c:formatCode>
                <c:ptCount val="4"/>
                <c:pt idx="0">
                  <c:v>13427</c:v>
                </c:pt>
                <c:pt idx="1">
                  <c:v>15319</c:v>
                </c:pt>
                <c:pt idx="2">
                  <c:v>19368</c:v>
                </c:pt>
                <c:pt idx="3">
                  <c:v>8007</c:v>
                </c:pt>
              </c:numCache>
            </c:numRef>
          </c:val>
          <c:smooth val="0"/>
          <c:extLst>
            <c:ext xmlns:c16="http://schemas.microsoft.com/office/drawing/2014/chart" uri="{C3380CC4-5D6E-409C-BE32-E72D297353CC}">
              <c16:uniqueId val="{00000000-E19D-4D6B-9C67-377788AB4D26}"/>
            </c:ext>
          </c:extLst>
        </c:ser>
        <c:dLbls>
          <c:showLegendKey val="0"/>
          <c:showVal val="0"/>
          <c:showCatName val="0"/>
          <c:showSerName val="0"/>
          <c:showPercent val="0"/>
          <c:showBubbleSize val="0"/>
        </c:dLbls>
        <c:smooth val="0"/>
        <c:axId val="1179346064"/>
        <c:axId val="1179343664"/>
      </c:lineChart>
      <c:catAx>
        <c:axId val="117934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9343664"/>
        <c:crosses val="autoZero"/>
        <c:auto val="1"/>
        <c:lblAlgn val="ctr"/>
        <c:lblOffset val="100"/>
        <c:noMultiLvlLbl val="0"/>
      </c:catAx>
      <c:valAx>
        <c:axId val="117934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934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Analysis!$C$24</c:f>
              <c:strCache>
                <c:ptCount val="1"/>
                <c:pt idx="0">
                  <c:v>Total Expense</c:v>
                </c:pt>
              </c:strCache>
            </c:strRef>
          </c:tx>
          <c:spPr>
            <a:ln w="28575" cap="rnd">
              <a:solidFill>
                <a:schemeClr val="accent4"/>
              </a:solidFill>
              <a:round/>
            </a:ln>
            <a:effectLst/>
          </c:spPr>
          <c:marker>
            <c:symbol val="none"/>
          </c:marker>
          <c:cat>
            <c:strRef>
              <c:f>Analysis!$B$25:$B$28</c:f>
              <c:strCache>
                <c:ptCount val="4"/>
                <c:pt idx="0">
                  <c:v>January</c:v>
                </c:pt>
                <c:pt idx="1">
                  <c:v>February</c:v>
                </c:pt>
                <c:pt idx="2">
                  <c:v>March</c:v>
                </c:pt>
                <c:pt idx="3">
                  <c:v>April</c:v>
                </c:pt>
              </c:strCache>
            </c:strRef>
          </c:cat>
          <c:val>
            <c:numRef>
              <c:f>Analysis!$C$25:$C$28</c:f>
              <c:numCache>
                <c:formatCode>General</c:formatCode>
                <c:ptCount val="4"/>
                <c:pt idx="0">
                  <c:v>13427</c:v>
                </c:pt>
                <c:pt idx="1">
                  <c:v>15319</c:v>
                </c:pt>
                <c:pt idx="2">
                  <c:v>19368</c:v>
                </c:pt>
                <c:pt idx="3">
                  <c:v>8007</c:v>
                </c:pt>
              </c:numCache>
            </c:numRef>
          </c:val>
          <c:smooth val="0"/>
          <c:extLst>
            <c:ext xmlns:c16="http://schemas.microsoft.com/office/drawing/2014/chart" uri="{C3380CC4-5D6E-409C-BE32-E72D297353CC}">
              <c16:uniqueId val="{00000000-F41D-45AF-913C-3591F36A8590}"/>
            </c:ext>
          </c:extLst>
        </c:ser>
        <c:dLbls>
          <c:showLegendKey val="0"/>
          <c:showVal val="0"/>
          <c:showCatName val="0"/>
          <c:showSerName val="0"/>
          <c:showPercent val="0"/>
          <c:showBubbleSize val="0"/>
        </c:dLbls>
        <c:smooth val="0"/>
        <c:axId val="1179346064"/>
        <c:axId val="1179343664"/>
      </c:lineChart>
      <c:catAx>
        <c:axId val="117934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79343664"/>
        <c:crosses val="autoZero"/>
        <c:auto val="1"/>
        <c:lblAlgn val="ctr"/>
        <c:lblOffset val="100"/>
        <c:noMultiLvlLbl val="0"/>
      </c:catAx>
      <c:valAx>
        <c:axId val="117934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934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r>
              <a:rPr lang="en-US" sz="1600"/>
              <a:t>Expenses by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bg1"/>
              </a:solidFill>
              <a:latin typeface="+mn-lt"/>
              <a:ea typeface="+mn-ea"/>
              <a:cs typeface="+mn-cs"/>
            </a:defRPr>
          </a:pPr>
          <a:endParaRPr lang="en-US"/>
        </a:p>
      </c:txPr>
    </c:title>
    <c:autoTitleDeleted val="0"/>
    <c:plotArea>
      <c:layout/>
      <c:barChart>
        <c:barDir val="bar"/>
        <c:grouping val="clustered"/>
        <c:varyColors val="0"/>
        <c:ser>
          <c:idx val="0"/>
          <c:order val="0"/>
          <c:tx>
            <c:strRef>
              <c:f>Analysis!$C$11</c:f>
              <c:strCache>
                <c:ptCount val="1"/>
                <c:pt idx="0">
                  <c:v>Total</c:v>
                </c:pt>
              </c:strCache>
            </c:strRef>
          </c:tx>
          <c:spPr>
            <a:solidFill>
              <a:schemeClr val="accent1"/>
            </a:solidFill>
            <a:ln>
              <a:noFill/>
            </a:ln>
            <a:effectLst>
              <a:outerShdw blurRad="63500" sx="102000" sy="102000" algn="ctr" rotWithShape="0">
                <a:prstClr val="black">
                  <a:alpha val="20000"/>
                </a:prstClr>
              </a:outerShdw>
            </a:effectLst>
          </c:spPr>
          <c:invertIfNegative val="0"/>
          <c:cat>
            <c:strRef>
              <c:f>Analysis!$B$12:$B$19</c:f>
              <c:strCache>
                <c:ptCount val="8"/>
                <c:pt idx="0">
                  <c:v>Entertainment</c:v>
                </c:pt>
                <c:pt idx="1">
                  <c:v>Bills</c:v>
                </c:pt>
                <c:pt idx="2">
                  <c:v>Food</c:v>
                </c:pt>
                <c:pt idx="3">
                  <c:v>Transport</c:v>
                </c:pt>
                <c:pt idx="4">
                  <c:v>Shopping</c:v>
                </c:pt>
                <c:pt idx="5">
                  <c:v>Education</c:v>
                </c:pt>
                <c:pt idx="6">
                  <c:v>Health</c:v>
                </c:pt>
                <c:pt idx="7">
                  <c:v>Grand Total</c:v>
                </c:pt>
              </c:strCache>
            </c:strRef>
          </c:cat>
          <c:val>
            <c:numRef>
              <c:f>Analysis!$C$12:$C$19</c:f>
              <c:numCache>
                <c:formatCode>General</c:formatCode>
                <c:ptCount val="8"/>
                <c:pt idx="0">
                  <c:v>8467</c:v>
                </c:pt>
                <c:pt idx="1">
                  <c:v>7705</c:v>
                </c:pt>
                <c:pt idx="2">
                  <c:v>6665</c:v>
                </c:pt>
                <c:pt idx="3">
                  <c:v>4580</c:v>
                </c:pt>
                <c:pt idx="4">
                  <c:v>21718</c:v>
                </c:pt>
                <c:pt idx="5">
                  <c:v>4046</c:v>
                </c:pt>
                <c:pt idx="6">
                  <c:v>2940</c:v>
                </c:pt>
                <c:pt idx="7">
                  <c:v>56121</c:v>
                </c:pt>
              </c:numCache>
            </c:numRef>
          </c:val>
          <c:extLst>
            <c:ext xmlns:c16="http://schemas.microsoft.com/office/drawing/2014/chart" uri="{C3380CC4-5D6E-409C-BE32-E72D297353CC}">
              <c16:uniqueId val="{0000000E-A6B0-45F5-9DAC-EB1A70E3BA4D}"/>
            </c:ext>
          </c:extLst>
        </c:ser>
        <c:dLbls>
          <c:showLegendKey val="0"/>
          <c:showVal val="0"/>
          <c:showCatName val="0"/>
          <c:showSerName val="0"/>
          <c:showPercent val="0"/>
          <c:showBubbleSize val="0"/>
        </c:dLbls>
        <c:gapWidth val="100"/>
        <c:axId val="202485007"/>
        <c:axId val="202476847"/>
      </c:barChart>
      <c:valAx>
        <c:axId val="20247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485007"/>
        <c:crossBetween val="between"/>
      </c:valAx>
      <c:catAx>
        <c:axId val="202485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47684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434340</xdr:colOff>
      <xdr:row>0</xdr:row>
      <xdr:rowOff>0</xdr:rowOff>
    </xdr:from>
    <xdr:to>
      <xdr:col>10</xdr:col>
      <xdr:colOff>129540</xdr:colOff>
      <xdr:row>15</xdr:row>
      <xdr:rowOff>0</xdr:rowOff>
    </xdr:to>
    <xdr:graphicFrame macro="">
      <xdr:nvGraphicFramePr>
        <xdr:cNvPr id="2" name="Chart 1">
          <a:extLst>
            <a:ext uri="{FF2B5EF4-FFF2-40B4-BE49-F238E27FC236}">
              <a16:creationId xmlns:a16="http://schemas.microsoft.com/office/drawing/2014/main" id="{D3B6C8CC-F0F7-B928-97A8-177CAF300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373380</xdr:colOff>
      <xdr:row>0</xdr:row>
      <xdr:rowOff>91440</xdr:rowOff>
    </xdr:from>
    <xdr:to>
      <xdr:col>13</xdr:col>
      <xdr:colOff>373380</xdr:colOff>
      <xdr:row>14</xdr:row>
      <xdr:rowOff>112395</xdr:rowOff>
    </xdr:to>
    <mc:AlternateContent xmlns:mc="http://schemas.openxmlformats.org/markup-compatibility/2006">
      <mc:Choice xmlns:a14="http://schemas.microsoft.com/office/drawing/2010/main" Requires="a14">
        <xdr:graphicFrame macro="">
          <xdr:nvGraphicFramePr>
            <xdr:cNvPr id="4" name="Amount">
              <a:extLst>
                <a:ext uri="{FF2B5EF4-FFF2-40B4-BE49-F238E27FC236}">
                  <a16:creationId xmlns:a16="http://schemas.microsoft.com/office/drawing/2014/main" id="{BDE0E36D-702C-9665-44F9-9ECB77C82CA4}"/>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dr:sp macro="" textlink="">
          <xdr:nvSpPr>
            <xdr:cNvPr id="0" name=""/>
            <xdr:cNvSpPr>
              <a:spLocks noTextEdit="1"/>
            </xdr:cNvSpPr>
          </xdr:nvSpPr>
          <xdr:spPr>
            <a:xfrm>
              <a:off x="703326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58442</xdr:colOff>
      <xdr:row>21</xdr:row>
      <xdr:rowOff>160169</xdr:rowOff>
    </xdr:from>
    <xdr:to>
      <xdr:col>15</xdr:col>
      <xdr:colOff>544949</xdr:colOff>
      <xdr:row>34</xdr:row>
      <xdr:rowOff>146171</xdr:rowOff>
    </xdr:to>
    <xdr:sp macro="" textlink="">
      <xdr:nvSpPr>
        <xdr:cNvPr id="13" name="Rectangle: Rounded Corners 12">
          <a:extLst>
            <a:ext uri="{FF2B5EF4-FFF2-40B4-BE49-F238E27FC236}">
              <a16:creationId xmlns:a16="http://schemas.microsoft.com/office/drawing/2014/main" id="{18964601-6C77-B514-664F-7AA03D96CD73}"/>
            </a:ext>
          </a:extLst>
        </xdr:cNvPr>
        <xdr:cNvSpPr/>
      </xdr:nvSpPr>
      <xdr:spPr>
        <a:xfrm>
          <a:off x="4271213" y="4253198"/>
          <a:ext cx="7213879" cy="2391744"/>
        </a:xfrm>
        <a:prstGeom prst="roundRect">
          <a:avLst>
            <a:gd name="adj" fmla="val 8154"/>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209550</xdr:colOff>
      <xdr:row>13</xdr:row>
      <xdr:rowOff>152400</xdr:rowOff>
    </xdr:from>
    <xdr:to>
      <xdr:col>9</xdr:col>
      <xdr:colOff>204788</xdr:colOff>
      <xdr:row>26</xdr:row>
      <xdr:rowOff>166688</xdr:rowOff>
    </xdr:to>
    <xdr:sp macro="" textlink="">
      <xdr:nvSpPr>
        <xdr:cNvPr id="5" name="Rectangle: Rounded Corners 4">
          <a:extLst>
            <a:ext uri="{FF2B5EF4-FFF2-40B4-BE49-F238E27FC236}">
              <a16:creationId xmlns:a16="http://schemas.microsoft.com/office/drawing/2014/main" id="{A4CB878F-72E4-92DB-C74E-5B8C06C5500C}"/>
            </a:ext>
          </a:extLst>
        </xdr:cNvPr>
        <xdr:cNvSpPr/>
      </xdr:nvSpPr>
      <xdr:spPr>
        <a:xfrm>
          <a:off x="2238375" y="2324100"/>
          <a:ext cx="4262438" cy="23669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86742</xdr:colOff>
      <xdr:row>8</xdr:row>
      <xdr:rowOff>37848</xdr:rowOff>
    </xdr:from>
    <xdr:to>
      <xdr:col>15</xdr:col>
      <xdr:colOff>583558</xdr:colOff>
      <xdr:row>20</xdr:row>
      <xdr:rowOff>180771</xdr:rowOff>
    </xdr:to>
    <xdr:sp macro="" textlink="">
      <xdr:nvSpPr>
        <xdr:cNvPr id="14" name="Rectangle: Rounded Corners 13">
          <a:extLst>
            <a:ext uri="{FF2B5EF4-FFF2-40B4-BE49-F238E27FC236}">
              <a16:creationId xmlns:a16="http://schemas.microsoft.com/office/drawing/2014/main" id="{52CF4FCB-8108-43D0-A2E4-687A37FB9CCC}"/>
            </a:ext>
          </a:extLst>
        </xdr:cNvPr>
        <xdr:cNvSpPr/>
      </xdr:nvSpPr>
      <xdr:spPr>
        <a:xfrm>
          <a:off x="4299513" y="1725134"/>
          <a:ext cx="7224188" cy="2363608"/>
        </a:xfrm>
        <a:prstGeom prst="roundRect">
          <a:avLst>
            <a:gd name="adj" fmla="val 4994"/>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1090963</xdr:colOff>
      <xdr:row>2</xdr:row>
      <xdr:rowOff>42261</xdr:rowOff>
    </xdr:from>
    <xdr:to>
      <xdr:col>5</xdr:col>
      <xdr:colOff>411830</xdr:colOff>
      <xdr:row>7</xdr:row>
      <xdr:rowOff>11781</xdr:rowOff>
    </xdr:to>
    <xdr:sp macro="" textlink="">
      <xdr:nvSpPr>
        <xdr:cNvPr id="6" name="Rectangle: Rounded Corners 5">
          <a:extLst>
            <a:ext uri="{FF2B5EF4-FFF2-40B4-BE49-F238E27FC236}">
              <a16:creationId xmlns:a16="http://schemas.microsoft.com/office/drawing/2014/main" id="{BBA22C0C-BDAE-59F2-B12C-8BA72F5A4881}"/>
            </a:ext>
          </a:extLst>
        </xdr:cNvPr>
        <xdr:cNvSpPr/>
      </xdr:nvSpPr>
      <xdr:spPr>
        <a:xfrm>
          <a:off x="1090963" y="618524"/>
          <a:ext cx="4173855" cy="874395"/>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latin typeface="Bell MT" panose="02020503060305020303" pitchFamily="18" charset="0"/>
            </a:rPr>
            <a:t>Total</a:t>
          </a:r>
          <a:r>
            <a:rPr lang="en-IN" sz="1600" b="1" baseline="0">
              <a:latin typeface="Bell MT" panose="02020503060305020303" pitchFamily="18" charset="0"/>
            </a:rPr>
            <a:t> Expenses</a:t>
          </a:r>
        </a:p>
        <a:p>
          <a:pPr algn="ctr"/>
          <a:r>
            <a:rPr lang="en-IN" sz="2400" b="1" u="sng"/>
            <a:t>56121</a:t>
          </a:r>
        </a:p>
      </xdr:txBody>
    </xdr:sp>
    <xdr:clientData/>
  </xdr:twoCellAnchor>
  <xdr:twoCellAnchor>
    <xdr:from>
      <xdr:col>5</xdr:col>
      <xdr:colOff>257174</xdr:colOff>
      <xdr:row>2</xdr:row>
      <xdr:rowOff>32384</xdr:rowOff>
    </xdr:from>
    <xdr:to>
      <xdr:col>11</xdr:col>
      <xdr:colOff>14939</xdr:colOff>
      <xdr:row>7</xdr:row>
      <xdr:rowOff>19150</xdr:rowOff>
    </xdr:to>
    <xdr:sp macro="" textlink="">
      <xdr:nvSpPr>
        <xdr:cNvPr id="7" name="Rectangle: Rounded Corners 6">
          <a:extLst>
            <a:ext uri="{FF2B5EF4-FFF2-40B4-BE49-F238E27FC236}">
              <a16:creationId xmlns:a16="http://schemas.microsoft.com/office/drawing/2014/main" id="{A965C048-E8D2-4984-BC4E-636261C140F9}"/>
            </a:ext>
          </a:extLst>
        </xdr:cNvPr>
        <xdr:cNvSpPr/>
      </xdr:nvSpPr>
      <xdr:spPr>
        <a:xfrm>
          <a:off x="5110162" y="608647"/>
          <a:ext cx="3415365" cy="891641"/>
        </a:xfrm>
        <a:prstGeom prst="roundRect">
          <a:avLst>
            <a:gd name="adj" fmla="val 0"/>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latin typeface="Bell MT" panose="02020503060305020303" pitchFamily="18" charset="0"/>
            </a:rPr>
            <a:t>Highest Expenses</a:t>
          </a:r>
        </a:p>
        <a:p>
          <a:pPr algn="ctr"/>
          <a:r>
            <a:rPr lang="en-IN" sz="2400" b="1" u="sng"/>
            <a:t>4500</a:t>
          </a:r>
          <a:endParaRPr lang="en-IN" sz="2000" b="1" u="sng"/>
        </a:p>
      </xdr:txBody>
    </xdr:sp>
    <xdr:clientData/>
  </xdr:twoCellAnchor>
  <xdr:twoCellAnchor editAs="oneCell">
    <xdr:from>
      <xdr:col>1</xdr:col>
      <xdr:colOff>528990</xdr:colOff>
      <xdr:row>2</xdr:row>
      <xdr:rowOff>139968</xdr:rowOff>
    </xdr:from>
    <xdr:to>
      <xdr:col>1</xdr:col>
      <xdr:colOff>1097867</xdr:colOff>
      <xdr:row>5</xdr:row>
      <xdr:rowOff>156009</xdr:rowOff>
    </xdr:to>
    <xdr:pic>
      <xdr:nvPicPr>
        <xdr:cNvPr id="9" name="Graphic 8" descr="Money with solid fill">
          <a:extLst>
            <a:ext uri="{FF2B5EF4-FFF2-40B4-BE49-F238E27FC236}">
              <a16:creationId xmlns:a16="http://schemas.microsoft.com/office/drawing/2014/main" id="{34382203-A817-A5AE-C87C-A3176B37D2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9610" y="719088"/>
          <a:ext cx="568877" cy="564681"/>
        </a:xfrm>
        <a:prstGeom prst="rect">
          <a:avLst/>
        </a:prstGeom>
      </xdr:spPr>
    </xdr:pic>
    <xdr:clientData/>
  </xdr:twoCellAnchor>
  <xdr:twoCellAnchor>
    <xdr:from>
      <xdr:col>10</xdr:col>
      <xdr:colOff>496824</xdr:colOff>
      <xdr:row>2</xdr:row>
      <xdr:rowOff>35052</xdr:rowOff>
    </xdr:from>
    <xdr:to>
      <xdr:col>16</xdr:col>
      <xdr:colOff>23812</xdr:colOff>
      <xdr:row>7</xdr:row>
      <xdr:rowOff>16764</xdr:rowOff>
    </xdr:to>
    <xdr:sp macro="" textlink="">
      <xdr:nvSpPr>
        <xdr:cNvPr id="10" name="Rectangle: Rounded Corners 9">
          <a:extLst>
            <a:ext uri="{FF2B5EF4-FFF2-40B4-BE49-F238E27FC236}">
              <a16:creationId xmlns:a16="http://schemas.microsoft.com/office/drawing/2014/main" id="{837615D0-F64F-4139-9D84-1F8FE86D951D}"/>
            </a:ext>
          </a:extLst>
        </xdr:cNvPr>
        <xdr:cNvSpPr/>
      </xdr:nvSpPr>
      <xdr:spPr>
        <a:xfrm>
          <a:off x="8398764" y="614172"/>
          <a:ext cx="3184588" cy="896112"/>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baseline="0">
              <a:latin typeface="Bell MT" panose="02020503060305020303" pitchFamily="18" charset="0"/>
            </a:rPr>
            <a:t> Average Expenses</a:t>
          </a:r>
        </a:p>
        <a:p>
          <a:pPr algn="ctr"/>
          <a:r>
            <a:rPr lang="en-IN" sz="2400" b="1" u="sng"/>
            <a:t>561.21</a:t>
          </a:r>
        </a:p>
      </xdr:txBody>
    </xdr:sp>
    <xdr:clientData/>
  </xdr:twoCellAnchor>
  <xdr:twoCellAnchor>
    <xdr:from>
      <xdr:col>4</xdr:col>
      <xdr:colOff>337212</xdr:colOff>
      <xdr:row>8</xdr:row>
      <xdr:rowOff>44018</xdr:rowOff>
    </xdr:from>
    <xdr:to>
      <xdr:col>15</xdr:col>
      <xdr:colOff>493748</xdr:colOff>
      <xdr:row>19</xdr:row>
      <xdr:rowOff>111369</xdr:rowOff>
    </xdr:to>
    <xdr:graphicFrame macro="">
      <xdr:nvGraphicFramePr>
        <xdr:cNvPr id="4" name="Chart 3">
          <a:extLst>
            <a:ext uri="{FF2B5EF4-FFF2-40B4-BE49-F238E27FC236}">
              <a16:creationId xmlns:a16="http://schemas.microsoft.com/office/drawing/2014/main" id="{088BECB2-7B08-466A-91F2-BC9DB2671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39950</xdr:colOff>
      <xdr:row>21</xdr:row>
      <xdr:rowOff>128708</xdr:rowOff>
    </xdr:from>
    <xdr:to>
      <xdr:col>15</xdr:col>
      <xdr:colOff>393709</xdr:colOff>
      <xdr:row>34</xdr:row>
      <xdr:rowOff>3201</xdr:rowOff>
    </xdr:to>
    <xdr:graphicFrame macro="">
      <xdr:nvGraphicFramePr>
        <xdr:cNvPr id="3" name="Chart 2">
          <a:extLst>
            <a:ext uri="{FF2B5EF4-FFF2-40B4-BE49-F238E27FC236}">
              <a16:creationId xmlns:a16="http://schemas.microsoft.com/office/drawing/2014/main" id="{7E4F290D-4000-E644-7D1B-941FFCBD3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396240</xdr:colOff>
      <xdr:row>2</xdr:row>
      <xdr:rowOff>175260</xdr:rowOff>
    </xdr:from>
    <xdr:to>
      <xdr:col>6</xdr:col>
      <xdr:colOff>381000</xdr:colOff>
      <xdr:row>6</xdr:row>
      <xdr:rowOff>38100</xdr:rowOff>
    </xdr:to>
    <xdr:pic>
      <xdr:nvPicPr>
        <xdr:cNvPr id="16" name="Graphic 15" descr="Bar graph with upward trend with solid fill">
          <a:extLst>
            <a:ext uri="{FF2B5EF4-FFF2-40B4-BE49-F238E27FC236}">
              <a16:creationId xmlns:a16="http://schemas.microsoft.com/office/drawing/2014/main" id="{C744F6B3-D38F-53E5-0E86-E6A43F2E94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50180" y="754380"/>
          <a:ext cx="594360" cy="594360"/>
        </a:xfrm>
        <a:prstGeom prst="rect">
          <a:avLst/>
        </a:prstGeom>
      </xdr:spPr>
    </xdr:pic>
    <xdr:clientData/>
  </xdr:twoCellAnchor>
  <xdr:twoCellAnchor editAs="oneCell">
    <xdr:from>
      <xdr:col>11</xdr:col>
      <xdr:colOff>38100</xdr:colOff>
      <xdr:row>2</xdr:row>
      <xdr:rowOff>152400</xdr:rowOff>
    </xdr:from>
    <xdr:to>
      <xdr:col>12</xdr:col>
      <xdr:colOff>30480</xdr:colOff>
      <xdr:row>6</xdr:row>
      <xdr:rowOff>22860</xdr:rowOff>
    </xdr:to>
    <xdr:pic>
      <xdr:nvPicPr>
        <xdr:cNvPr id="18" name="Graphic 17" descr="Bar chart with solid fill">
          <a:extLst>
            <a:ext uri="{FF2B5EF4-FFF2-40B4-BE49-F238E27FC236}">
              <a16:creationId xmlns:a16="http://schemas.microsoft.com/office/drawing/2014/main" id="{7C6D4429-1586-4CDD-0777-593AAAA39B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49640" y="731520"/>
          <a:ext cx="601980" cy="6019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581505</xdr:colOff>
      <xdr:row>2</xdr:row>
      <xdr:rowOff>87167</xdr:rowOff>
    </xdr:from>
    <xdr:to>
      <xdr:col>2</xdr:col>
      <xdr:colOff>398848</xdr:colOff>
      <xdr:row>7</xdr:row>
      <xdr:rowOff>81724</xdr:rowOff>
    </xdr:to>
    <xdr:sp macro="" textlink="">
      <xdr:nvSpPr>
        <xdr:cNvPr id="6" name="Rectangle: Rounded Corners 5">
          <a:extLst>
            <a:ext uri="{FF2B5EF4-FFF2-40B4-BE49-F238E27FC236}">
              <a16:creationId xmlns:a16="http://schemas.microsoft.com/office/drawing/2014/main" id="{F491B866-B9A2-E42C-50BD-09F1A4C21DA0}"/>
            </a:ext>
          </a:extLst>
        </xdr:cNvPr>
        <xdr:cNvSpPr/>
      </xdr:nvSpPr>
      <xdr:spPr>
        <a:xfrm>
          <a:off x="581505" y="598155"/>
          <a:ext cx="1655108" cy="891028"/>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100"/>
            <a:t>Total Expenses</a:t>
          </a:r>
        </a:p>
        <a:p>
          <a:pPr algn="ctr"/>
          <a:r>
            <a:rPr lang="en-IN" sz="2000"/>
            <a:t>$56,121</a:t>
          </a:r>
        </a:p>
        <a:p>
          <a:pPr algn="l"/>
          <a:endParaRPr lang="en-IN" sz="1100"/>
        </a:p>
        <a:p>
          <a:pPr algn="l"/>
          <a:endParaRPr lang="en-IN" sz="1100"/>
        </a:p>
      </xdr:txBody>
    </xdr:sp>
    <xdr:clientData/>
  </xdr:twoCellAnchor>
  <xdr:twoCellAnchor editAs="oneCell">
    <xdr:from>
      <xdr:col>2</xdr:col>
      <xdr:colOff>74760</xdr:colOff>
      <xdr:row>3</xdr:row>
      <xdr:rowOff>120062</xdr:rowOff>
    </xdr:from>
    <xdr:to>
      <xdr:col>2</xdr:col>
      <xdr:colOff>278867</xdr:colOff>
      <xdr:row>4</xdr:row>
      <xdr:rowOff>141833</xdr:rowOff>
    </xdr:to>
    <xdr:pic>
      <xdr:nvPicPr>
        <xdr:cNvPr id="3" name="Graphic 2" descr="Money with solid fill">
          <a:extLst>
            <a:ext uri="{FF2B5EF4-FFF2-40B4-BE49-F238E27FC236}">
              <a16:creationId xmlns:a16="http://schemas.microsoft.com/office/drawing/2014/main" id="{6EE24EA2-8DCB-6EE0-83A0-75F239495D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2525" y="810344"/>
          <a:ext cx="204107" cy="201065"/>
        </a:xfrm>
        <a:prstGeom prst="rect">
          <a:avLst/>
        </a:prstGeom>
      </xdr:spPr>
    </xdr:pic>
    <xdr:clientData/>
  </xdr:twoCellAnchor>
  <xdr:twoCellAnchor>
    <xdr:from>
      <xdr:col>3</xdr:col>
      <xdr:colOff>64232</xdr:colOff>
      <xdr:row>2</xdr:row>
      <xdr:rowOff>51148</xdr:rowOff>
    </xdr:from>
    <xdr:to>
      <xdr:col>4</xdr:col>
      <xdr:colOff>1064688</xdr:colOff>
      <xdr:row>7</xdr:row>
      <xdr:rowOff>45705</xdr:rowOff>
    </xdr:to>
    <xdr:sp macro="" textlink="">
      <xdr:nvSpPr>
        <xdr:cNvPr id="7" name="Rectangle: Rounded Corners 6">
          <a:extLst>
            <a:ext uri="{FF2B5EF4-FFF2-40B4-BE49-F238E27FC236}">
              <a16:creationId xmlns:a16="http://schemas.microsoft.com/office/drawing/2014/main" id="{53589850-FDB8-48B9-8016-303BFFB10E93}"/>
            </a:ext>
          </a:extLst>
        </xdr:cNvPr>
        <xdr:cNvSpPr/>
      </xdr:nvSpPr>
      <xdr:spPr>
        <a:xfrm>
          <a:off x="3551503" y="562136"/>
          <a:ext cx="1654879" cy="891028"/>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200"/>
            <a:t>Highest</a:t>
          </a:r>
          <a:r>
            <a:rPr lang="en-IN" sz="1200" baseline="0"/>
            <a:t> </a:t>
          </a:r>
          <a:r>
            <a:rPr lang="en-IN" sz="1100" baseline="0"/>
            <a:t>Expenses</a:t>
          </a:r>
          <a:endParaRPr lang="en-IN" sz="1200" baseline="0"/>
        </a:p>
        <a:p>
          <a:pPr algn="ctr"/>
          <a:r>
            <a:rPr lang="en-IN" sz="2000"/>
            <a:t>$4,500</a:t>
          </a:r>
        </a:p>
        <a:p>
          <a:pPr algn="l"/>
          <a:endParaRPr lang="en-IN" sz="1100"/>
        </a:p>
        <a:p>
          <a:pPr algn="l"/>
          <a:endParaRPr lang="en-IN" sz="1100"/>
        </a:p>
      </xdr:txBody>
    </xdr:sp>
    <xdr:clientData/>
  </xdr:twoCellAnchor>
  <xdr:twoCellAnchor editAs="oneCell">
    <xdr:from>
      <xdr:col>4</xdr:col>
      <xdr:colOff>799279</xdr:colOff>
      <xdr:row>3</xdr:row>
      <xdr:rowOff>107921</xdr:rowOff>
    </xdr:from>
    <xdr:to>
      <xdr:col>4</xdr:col>
      <xdr:colOff>1008829</xdr:colOff>
      <xdr:row>4</xdr:row>
      <xdr:rowOff>133774</xdr:rowOff>
    </xdr:to>
    <xdr:pic>
      <xdr:nvPicPr>
        <xdr:cNvPr id="11" name="Graphic 10" descr="Bar graph with upward trend with solid fill">
          <a:extLst>
            <a:ext uri="{FF2B5EF4-FFF2-40B4-BE49-F238E27FC236}">
              <a16:creationId xmlns:a16="http://schemas.microsoft.com/office/drawing/2014/main" id="{5CC87163-A42D-A2E8-56FC-2D864100AA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45610" y="801604"/>
          <a:ext cx="209550" cy="209784"/>
        </a:xfrm>
        <a:prstGeom prst="rect">
          <a:avLst/>
        </a:prstGeom>
      </xdr:spPr>
    </xdr:pic>
    <xdr:clientData/>
  </xdr:twoCellAnchor>
  <xdr:twoCellAnchor>
    <xdr:from>
      <xdr:col>5</xdr:col>
      <xdr:colOff>974911</xdr:colOff>
      <xdr:row>2</xdr:row>
      <xdr:rowOff>41741</xdr:rowOff>
    </xdr:from>
    <xdr:to>
      <xdr:col>7</xdr:col>
      <xdr:colOff>102864</xdr:colOff>
      <xdr:row>7</xdr:row>
      <xdr:rowOff>60111</xdr:rowOff>
    </xdr:to>
    <xdr:sp macro="" textlink="">
      <xdr:nvSpPr>
        <xdr:cNvPr id="12" name="Rectangle: Rounded Corners 11">
          <a:extLst>
            <a:ext uri="{FF2B5EF4-FFF2-40B4-BE49-F238E27FC236}">
              <a16:creationId xmlns:a16="http://schemas.microsoft.com/office/drawing/2014/main" id="{6BC225FC-DE59-422D-9263-2AF6E83BCB2B}"/>
            </a:ext>
          </a:extLst>
        </xdr:cNvPr>
        <xdr:cNvSpPr/>
      </xdr:nvSpPr>
      <xdr:spPr>
        <a:xfrm>
          <a:off x="6793005" y="552729"/>
          <a:ext cx="1656000" cy="914841"/>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a:p>
          <a:pPr algn="ctr"/>
          <a:r>
            <a:rPr lang="en-IN" sz="1200" b="1" baseline="0"/>
            <a:t>Average </a:t>
          </a:r>
          <a:r>
            <a:rPr lang="en-IN" sz="1100" b="1" baseline="0"/>
            <a:t>Expenses</a:t>
          </a:r>
          <a:endParaRPr lang="en-IN" sz="1200" b="1" baseline="0"/>
        </a:p>
        <a:p>
          <a:pPr algn="ctr"/>
          <a:r>
            <a:rPr lang="en-IN" sz="2000"/>
            <a:t>$561.21</a:t>
          </a:r>
        </a:p>
        <a:p>
          <a:pPr algn="l"/>
          <a:endParaRPr lang="en-IN" sz="1100"/>
        </a:p>
        <a:p>
          <a:pPr algn="l"/>
          <a:endParaRPr lang="en-IN" sz="1100"/>
        </a:p>
      </xdr:txBody>
    </xdr:sp>
    <xdr:clientData/>
  </xdr:twoCellAnchor>
  <xdr:twoCellAnchor>
    <xdr:from>
      <xdr:col>4</xdr:col>
      <xdr:colOff>947531</xdr:colOff>
      <xdr:row>10</xdr:row>
      <xdr:rowOff>24555</xdr:rowOff>
    </xdr:from>
    <xdr:to>
      <xdr:col>8</xdr:col>
      <xdr:colOff>265043</xdr:colOff>
      <xdr:row>28</xdr:row>
      <xdr:rowOff>3243</xdr:rowOff>
    </xdr:to>
    <xdr:sp macro="" textlink="">
      <xdr:nvSpPr>
        <xdr:cNvPr id="17" name="Rectangle: Rounded Corners 16">
          <a:extLst>
            <a:ext uri="{FF2B5EF4-FFF2-40B4-BE49-F238E27FC236}">
              <a16:creationId xmlns:a16="http://schemas.microsoft.com/office/drawing/2014/main" id="{A90C5292-6BB9-4325-8A47-0726C747BAD4}"/>
            </a:ext>
          </a:extLst>
        </xdr:cNvPr>
        <xdr:cNvSpPr/>
      </xdr:nvSpPr>
      <xdr:spPr>
        <a:xfrm>
          <a:off x="5089225" y="1969896"/>
          <a:ext cx="4131559" cy="3205982"/>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446555</xdr:colOff>
      <xdr:row>3</xdr:row>
      <xdr:rowOff>89927</xdr:rowOff>
    </xdr:from>
    <xdr:to>
      <xdr:col>7</xdr:col>
      <xdr:colOff>60792</xdr:colOff>
      <xdr:row>4</xdr:row>
      <xdr:rowOff>132789</xdr:rowOff>
    </xdr:to>
    <xdr:pic>
      <xdr:nvPicPr>
        <xdr:cNvPr id="14" name="Graphic 13" descr="Bar chart with solid fill">
          <a:extLst>
            <a:ext uri="{FF2B5EF4-FFF2-40B4-BE49-F238E27FC236}">
              <a16:creationId xmlns:a16="http://schemas.microsoft.com/office/drawing/2014/main" id="{EBC4F397-1D47-2E04-5E0A-0F4EFFE6684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183096" y="780209"/>
          <a:ext cx="223837" cy="222156"/>
        </a:xfrm>
        <a:prstGeom prst="rect">
          <a:avLst/>
        </a:prstGeom>
      </xdr:spPr>
    </xdr:pic>
    <xdr:clientData/>
  </xdr:twoCellAnchor>
  <xdr:twoCellAnchor>
    <xdr:from>
      <xdr:col>4</xdr:col>
      <xdr:colOff>1109285</xdr:colOff>
      <xdr:row>10</xdr:row>
      <xdr:rowOff>152400</xdr:rowOff>
    </xdr:from>
    <xdr:to>
      <xdr:col>8</xdr:col>
      <xdr:colOff>188258</xdr:colOff>
      <xdr:row>26</xdr:row>
      <xdr:rowOff>6626</xdr:rowOff>
    </xdr:to>
    <xdr:graphicFrame macro="">
      <xdr:nvGraphicFramePr>
        <xdr:cNvPr id="5" name="Chart 4">
          <a:extLst>
            <a:ext uri="{FF2B5EF4-FFF2-40B4-BE49-F238E27FC236}">
              <a16:creationId xmlns:a16="http://schemas.microsoft.com/office/drawing/2014/main" id="{A1FB93D2-5EBF-479E-B202-FAA025817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513716</xdr:colOff>
      <xdr:row>10</xdr:row>
      <xdr:rowOff>76005</xdr:rowOff>
    </xdr:from>
    <xdr:to>
      <xdr:col>4</xdr:col>
      <xdr:colOff>619734</xdr:colOff>
      <xdr:row>28</xdr:row>
      <xdr:rowOff>2727</xdr:rowOff>
    </xdr:to>
    <xdr:sp macro="" textlink="">
      <xdr:nvSpPr>
        <xdr:cNvPr id="16" name="Rectangle: Rounded Corners 15">
          <a:extLst>
            <a:ext uri="{FF2B5EF4-FFF2-40B4-BE49-F238E27FC236}">
              <a16:creationId xmlns:a16="http://schemas.microsoft.com/office/drawing/2014/main" id="{13D6BA69-10F8-9BE7-8E61-CBFE7B53ECBA}"/>
            </a:ext>
          </a:extLst>
        </xdr:cNvPr>
        <xdr:cNvSpPr/>
      </xdr:nvSpPr>
      <xdr:spPr>
        <a:xfrm>
          <a:off x="513716" y="2021346"/>
          <a:ext cx="4247712" cy="3154016"/>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502025</xdr:colOff>
      <xdr:row>11</xdr:row>
      <xdr:rowOff>169552</xdr:rowOff>
    </xdr:from>
    <xdr:to>
      <xdr:col>4</xdr:col>
      <xdr:colOff>609600</xdr:colOff>
      <xdr:row>26</xdr:row>
      <xdr:rowOff>17929</xdr:rowOff>
    </xdr:to>
    <xdr:graphicFrame macro="">
      <xdr:nvGraphicFramePr>
        <xdr:cNvPr id="15" name="Chart 14">
          <a:extLst>
            <a:ext uri="{FF2B5EF4-FFF2-40B4-BE49-F238E27FC236}">
              <a16:creationId xmlns:a16="http://schemas.microsoft.com/office/drawing/2014/main" id="{3E85CAD5-4470-4DCB-9C38-2DD3FA84D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537883</xdr:colOff>
      <xdr:row>1</xdr:row>
      <xdr:rowOff>164353</xdr:rowOff>
    </xdr:from>
    <xdr:to>
      <xdr:col>12</xdr:col>
      <xdr:colOff>597648</xdr:colOff>
      <xdr:row>28</xdr:row>
      <xdr:rowOff>112060</xdr:rowOff>
    </xdr:to>
    <xdr:sp macro="" textlink="">
      <xdr:nvSpPr>
        <xdr:cNvPr id="20" name="Rectangle: Rounded Corners 19">
          <a:extLst>
            <a:ext uri="{FF2B5EF4-FFF2-40B4-BE49-F238E27FC236}">
              <a16:creationId xmlns:a16="http://schemas.microsoft.com/office/drawing/2014/main" id="{E20B42A7-2806-E5D4-0DBC-D984FAB4AD61}"/>
            </a:ext>
          </a:extLst>
        </xdr:cNvPr>
        <xdr:cNvSpPr/>
      </xdr:nvSpPr>
      <xdr:spPr>
        <a:xfrm>
          <a:off x="9502589" y="493059"/>
          <a:ext cx="2510118" cy="4788648"/>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Slicer</a:t>
          </a:r>
        </a:p>
      </xdr:txBody>
    </xdr:sp>
    <xdr:clientData/>
  </xdr:twoCellAnchor>
  <xdr:twoCellAnchor editAs="oneCell">
    <xdr:from>
      <xdr:col>9</xdr:col>
      <xdr:colOff>182282</xdr:colOff>
      <xdr:row>5</xdr:row>
      <xdr:rowOff>26894</xdr:rowOff>
    </xdr:from>
    <xdr:to>
      <xdr:col>12</xdr:col>
      <xdr:colOff>397435</xdr:colOff>
      <xdr:row>19</xdr:row>
      <xdr:rowOff>62752</xdr:rowOff>
    </xdr:to>
    <mc:AlternateContent xmlns:mc="http://schemas.openxmlformats.org/markup-compatibility/2006">
      <mc:Choice xmlns:a14="http://schemas.microsoft.com/office/drawing/2010/main" Requires="a14">
        <xdr:graphicFrame macro="">
          <xdr:nvGraphicFramePr>
            <xdr:cNvPr id="18" name="Category">
              <a:extLst>
                <a:ext uri="{FF2B5EF4-FFF2-40B4-BE49-F238E27FC236}">
                  <a16:creationId xmlns:a16="http://schemas.microsoft.com/office/drawing/2014/main" id="{D31266E8-3117-412E-A556-DE39299016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47623" y="1075765"/>
              <a:ext cx="2043953" cy="254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192462</xdr:colOff>
      <xdr:row>18</xdr:row>
      <xdr:rowOff>16996</xdr:rowOff>
    </xdr:from>
    <xdr:to>
      <xdr:col>12</xdr:col>
      <xdr:colOff>411817</xdr:colOff>
      <xdr:row>27</xdr:row>
      <xdr:rowOff>53639</xdr:rowOff>
    </xdr:to>
    <mc:AlternateContent xmlns:mc="http://schemas.openxmlformats.org/markup-compatibility/2006">
      <mc:Choice xmlns:a14="http://schemas.microsoft.com/office/drawing/2010/main" Requires="a14">
        <xdr:graphicFrame macro="">
          <xdr:nvGraphicFramePr>
            <xdr:cNvPr id="19" name="Month">
              <a:extLst>
                <a:ext uri="{FF2B5EF4-FFF2-40B4-BE49-F238E27FC236}">
                  <a16:creationId xmlns:a16="http://schemas.microsoft.com/office/drawing/2014/main" id="{3DC1A41F-446F-4B3B-8D23-3E68AA9E7E3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757803" y="3396690"/>
              <a:ext cx="2048155" cy="1650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nan" refreshedDate="46152.817694791665" createdVersion="8" refreshedVersion="8" minRefreshableVersion="3" recordCount="100" xr:uid="{2C2042A6-E71B-4EAF-8310-CFCFFDF7CA4E}">
  <cacheSource type="worksheet">
    <worksheetSource name="Table1"/>
  </cacheSource>
  <cacheFields count="6">
    <cacheField name="Date" numFmtId="14">
      <sharedItems containsSemiMixedTypes="0" containsNonDate="0" containsDate="1" containsString="0" minDate="2026-01-01T00:00:00" maxDate="2026-04-11T00:00:00"/>
    </cacheField>
    <cacheField name="Category" numFmtId="0">
      <sharedItems count="7">
        <s v="Food"/>
        <s v="Transport"/>
        <s v="Shopping"/>
        <s v="Entertainment"/>
        <s v="Bills"/>
        <s v="Health"/>
        <s v="Education"/>
      </sharedItems>
    </cacheField>
    <cacheField name="Description" numFmtId="0">
      <sharedItems/>
    </cacheField>
    <cacheField name="Payment Mode" numFmtId="0">
      <sharedItems/>
    </cacheField>
    <cacheField name="Amount" numFmtId="0">
      <sharedItems containsSemiMixedTypes="0" containsString="0" containsNumber="1" containsInteger="1" minValue="40" maxValue="4500" count="60">
        <n v="120"/>
        <n v="40"/>
        <n v="250"/>
        <n v="180"/>
        <n v="320"/>
        <n v="299"/>
        <n v="90"/>
        <n v="70"/>
        <n v="699"/>
        <n v="240"/>
        <n v="150"/>
        <n v="110"/>
        <n v="499"/>
        <n v="450"/>
        <n v="1499"/>
        <n v="850"/>
        <n v="80"/>
        <n v="220"/>
        <n v="999"/>
        <n v="130"/>
        <n v="899"/>
        <n v="300"/>
        <n v="500"/>
        <n v="799"/>
        <n v="95"/>
        <n v="200"/>
        <n v="1199"/>
        <n v="210"/>
        <n v="1500"/>
        <n v="100"/>
        <n v="400"/>
        <n v="1299"/>
        <n v="260"/>
        <n v="350"/>
        <n v="900"/>
        <n v="190"/>
        <n v="1999"/>
        <n v="650"/>
        <n v="550"/>
        <n v="1200"/>
        <n v="85"/>
        <n v="430"/>
        <n v="60"/>
        <n v="340"/>
        <n v="1000"/>
        <n v="199"/>
        <n v="700"/>
        <n v="1599"/>
        <n v="920"/>
        <n v="140"/>
        <n v="349"/>
        <n v="520"/>
        <n v="4500"/>
        <n v="1800"/>
        <n v="230"/>
        <n v="600"/>
        <n v="420"/>
        <n v="870"/>
        <n v="310"/>
        <n v="2999"/>
      </sharedItems>
    </cacheField>
    <cacheField name="Month" numFmtId="0">
      <sharedItems count="4">
        <s v="January"/>
        <s v="February"/>
        <s v="March"/>
        <s v="April"/>
      </sharedItems>
    </cacheField>
  </cacheFields>
  <extLst>
    <ext xmlns:x14="http://schemas.microsoft.com/office/spreadsheetml/2009/9/main" uri="{725AE2AE-9491-48be-B2B4-4EB974FC3084}">
      <x14:pivotCacheDefinition pivotCacheId="4055329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6-01-01T00:00:00"/>
    <x v="0"/>
    <s v="Breakfast"/>
    <s v="UPI"/>
    <x v="0"/>
    <x v="0"/>
  </r>
  <r>
    <d v="2026-01-02T00:00:00"/>
    <x v="1"/>
    <s v="Bus Ticket"/>
    <s v="Cash"/>
    <x v="1"/>
    <x v="0"/>
  </r>
  <r>
    <d v="2026-01-03T00:00:00"/>
    <x v="2"/>
    <s v="Notebook Purchase"/>
    <s v="Card"/>
    <x v="2"/>
    <x v="0"/>
  </r>
  <r>
    <d v="2026-01-04T00:00:00"/>
    <x v="0"/>
    <s v="Lunch"/>
    <s v="UPI"/>
    <x v="3"/>
    <x v="0"/>
  </r>
  <r>
    <d v="2026-01-05T00:00:00"/>
    <x v="3"/>
    <s v="Movie Ticket"/>
    <s v="Card"/>
    <x v="4"/>
    <x v="0"/>
  </r>
  <r>
    <d v="2026-01-06T00:00:00"/>
    <x v="4"/>
    <s v="Mobile Recharge"/>
    <s v="UPI"/>
    <x v="5"/>
    <x v="0"/>
  </r>
  <r>
    <d v="2026-01-07T00:00:00"/>
    <x v="0"/>
    <s v="Snacks"/>
    <s v="Cash"/>
    <x v="6"/>
    <x v="0"/>
  </r>
  <r>
    <d v="2026-01-08T00:00:00"/>
    <x v="1"/>
    <s v="Auto Fare"/>
    <s v="Cash"/>
    <x v="7"/>
    <x v="0"/>
  </r>
  <r>
    <d v="2026-01-09T00:00:00"/>
    <x v="2"/>
    <s v="T-shirt"/>
    <s v="Card"/>
    <x v="8"/>
    <x v="0"/>
  </r>
  <r>
    <d v="2026-01-10T00:00:00"/>
    <x v="0"/>
    <s v="Dinner"/>
    <s v="UPI"/>
    <x v="9"/>
    <x v="0"/>
  </r>
  <r>
    <d v="2026-01-11T00:00:00"/>
    <x v="5"/>
    <s v="Medicine"/>
    <s v="Cash"/>
    <x v="10"/>
    <x v="0"/>
  </r>
  <r>
    <d v="2026-01-12T00:00:00"/>
    <x v="0"/>
    <s v="Coffee"/>
    <s v="UPI"/>
    <x v="11"/>
    <x v="0"/>
  </r>
  <r>
    <d v="2026-01-13T00:00:00"/>
    <x v="1"/>
    <s v="Train Ticket"/>
    <s v="Card"/>
    <x v="3"/>
    <x v="0"/>
  </r>
  <r>
    <d v="2026-01-14T00:00:00"/>
    <x v="3"/>
    <s v="OTT Subscription"/>
    <s v="UPI"/>
    <x v="12"/>
    <x v="0"/>
  </r>
  <r>
    <d v="2026-01-15T00:00:00"/>
    <x v="0"/>
    <s v="Pizza"/>
    <s v="Card"/>
    <x v="13"/>
    <x v="0"/>
  </r>
  <r>
    <d v="2026-01-16T00:00:00"/>
    <x v="2"/>
    <s v="Shoes"/>
    <s v="Card"/>
    <x v="14"/>
    <x v="0"/>
  </r>
  <r>
    <d v="2026-01-17T00:00:00"/>
    <x v="4"/>
    <s v="Electricity Bill"/>
    <s v="UPI"/>
    <x v="15"/>
    <x v="0"/>
  </r>
  <r>
    <d v="2026-01-18T00:00:00"/>
    <x v="0"/>
    <s v="Ice Cream"/>
    <s v="Cash"/>
    <x v="16"/>
    <x v="0"/>
  </r>
  <r>
    <d v="2026-01-19T00:00:00"/>
    <x v="1"/>
    <s v="Cab Fare"/>
    <s v="UPI"/>
    <x v="17"/>
    <x v="0"/>
  </r>
  <r>
    <d v="2026-01-20T00:00:00"/>
    <x v="6"/>
    <s v="Excel Course"/>
    <s v="Card"/>
    <x v="18"/>
    <x v="0"/>
  </r>
  <r>
    <d v="2026-01-21T00:00:00"/>
    <x v="0"/>
    <s v="Breakfast"/>
    <s v="Cash"/>
    <x v="19"/>
    <x v="0"/>
  </r>
  <r>
    <d v="2026-01-22T00:00:00"/>
    <x v="2"/>
    <s v="Backpack"/>
    <s v="Card"/>
    <x v="20"/>
    <x v="0"/>
  </r>
  <r>
    <d v="2026-01-23T00:00:00"/>
    <x v="3"/>
    <s v="Gaming"/>
    <s v="UPI"/>
    <x v="2"/>
    <x v="0"/>
  </r>
  <r>
    <d v="2026-01-24T00:00:00"/>
    <x v="0"/>
    <s v="Dinner"/>
    <s v="Card"/>
    <x v="21"/>
    <x v="0"/>
  </r>
  <r>
    <d v="2026-01-25T00:00:00"/>
    <x v="5"/>
    <s v="Doctor Visit"/>
    <s v="Cash"/>
    <x v="22"/>
    <x v="0"/>
  </r>
  <r>
    <d v="2026-01-26T00:00:00"/>
    <x v="4"/>
    <s v="WiFi Recharge"/>
    <s v="UPI"/>
    <x v="23"/>
    <x v="0"/>
  </r>
  <r>
    <d v="2026-01-27T00:00:00"/>
    <x v="0"/>
    <s v="Snacks"/>
    <s v="Cash"/>
    <x v="24"/>
    <x v="0"/>
  </r>
  <r>
    <d v="2026-01-28T00:00:00"/>
    <x v="1"/>
    <s v="Metro Card"/>
    <s v="UPI"/>
    <x v="25"/>
    <x v="0"/>
  </r>
  <r>
    <d v="2026-01-29T00:00:00"/>
    <x v="2"/>
    <s v="Earphones"/>
    <s v="Card"/>
    <x v="26"/>
    <x v="0"/>
  </r>
  <r>
    <d v="2026-01-30T00:00:00"/>
    <x v="0"/>
    <s v="Lunch"/>
    <s v="UPI"/>
    <x v="27"/>
    <x v="0"/>
  </r>
  <r>
    <d v="2026-01-31T00:00:00"/>
    <x v="3"/>
    <s v="Concert Ticket"/>
    <s v="Card"/>
    <x v="28"/>
    <x v="0"/>
  </r>
  <r>
    <d v="2026-02-01T00:00:00"/>
    <x v="0"/>
    <s v="Breakfast"/>
    <s v="Cash"/>
    <x v="29"/>
    <x v="1"/>
  </r>
  <r>
    <d v="2026-02-02T00:00:00"/>
    <x v="4"/>
    <s v="Water Bill"/>
    <s v="UPI"/>
    <x v="30"/>
    <x v="1"/>
  </r>
  <r>
    <d v="2026-02-03T00:00:00"/>
    <x v="2"/>
    <s v="Jeans"/>
    <s v="Card"/>
    <x v="31"/>
    <x v="1"/>
  </r>
  <r>
    <d v="2026-02-04T00:00:00"/>
    <x v="0"/>
    <s v="Dinner"/>
    <s v="UPI"/>
    <x v="32"/>
    <x v="1"/>
  </r>
  <r>
    <d v="2026-02-05T00:00:00"/>
    <x v="6"/>
    <s v="Power BI Course"/>
    <s v="Card"/>
    <x v="14"/>
    <x v="1"/>
  </r>
  <r>
    <d v="2026-02-06T00:00:00"/>
    <x v="1"/>
    <s v="Bus Pass"/>
    <s v="Cash"/>
    <x v="21"/>
    <x v="1"/>
  </r>
  <r>
    <d v="2026-02-07T00:00:00"/>
    <x v="0"/>
    <s v="Juice"/>
    <s v="Cash"/>
    <x v="7"/>
    <x v="1"/>
  </r>
  <r>
    <d v="2026-02-08T00:00:00"/>
    <x v="5"/>
    <s v="Vitamins"/>
    <s v="UPI"/>
    <x v="33"/>
    <x v="1"/>
  </r>
  <r>
    <d v="2026-02-09T00:00:00"/>
    <x v="3"/>
    <s v="Cricket Match"/>
    <s v="Card"/>
    <x v="34"/>
    <x v="1"/>
  </r>
  <r>
    <d v="2026-02-10T00:00:00"/>
    <x v="0"/>
    <s v="Lunch"/>
    <s v="UPI"/>
    <x v="35"/>
    <x v="1"/>
  </r>
  <r>
    <d v="2026-02-11T00:00:00"/>
    <x v="2"/>
    <s v="Watch"/>
    <s v="Card"/>
    <x v="36"/>
    <x v="1"/>
  </r>
  <r>
    <d v="2026-02-12T00:00:00"/>
    <x v="1"/>
    <s v="Cab Fare"/>
    <s v="UPI"/>
    <x v="9"/>
    <x v="1"/>
  </r>
  <r>
    <d v="2026-02-13T00:00:00"/>
    <x v="4"/>
    <s v="Gas Bill"/>
    <s v="Cash"/>
    <x v="37"/>
    <x v="1"/>
  </r>
  <r>
    <d v="2026-02-14T00:00:00"/>
    <x v="0"/>
    <s v="Cafe Visit"/>
    <s v="Card"/>
    <x v="38"/>
    <x v="1"/>
  </r>
  <r>
    <d v="2026-02-15T00:00:00"/>
    <x v="3"/>
    <s v="Theme Park"/>
    <s v="Card"/>
    <x v="39"/>
    <x v="1"/>
  </r>
  <r>
    <d v="2026-02-16T00:00:00"/>
    <x v="0"/>
    <s v="Snacks"/>
    <s v="Cash"/>
    <x v="40"/>
    <x v="1"/>
  </r>
  <r>
    <d v="2026-02-17T00:00:00"/>
    <x v="2"/>
    <s v="Books"/>
    <s v="UPI"/>
    <x v="41"/>
    <x v="1"/>
  </r>
  <r>
    <d v="2026-02-18T00:00:00"/>
    <x v="1"/>
    <s v="Metro Ticket"/>
    <s v="Cash"/>
    <x v="42"/>
    <x v="1"/>
  </r>
  <r>
    <d v="2026-02-19T00:00:00"/>
    <x v="5"/>
    <s v="First Aid"/>
    <s v="UPI"/>
    <x v="3"/>
    <x v="1"/>
  </r>
  <r>
    <d v="2026-02-20T00:00:00"/>
    <x v="0"/>
    <s v="Dinner"/>
    <s v="Card"/>
    <x v="43"/>
    <x v="1"/>
  </r>
  <r>
    <d v="2026-02-21T00:00:00"/>
    <x v="6"/>
    <s v="Online Workshop"/>
    <s v="UPI"/>
    <x v="8"/>
    <x v="1"/>
  </r>
  <r>
    <d v="2026-02-22T00:00:00"/>
    <x v="4"/>
    <s v="DTH Recharge"/>
    <s v="UPI"/>
    <x v="33"/>
    <x v="1"/>
  </r>
  <r>
    <d v="2026-02-23T00:00:00"/>
    <x v="0"/>
    <s v="Breakfast"/>
    <s v="Cash"/>
    <x v="0"/>
    <x v="1"/>
  </r>
  <r>
    <d v="2026-02-24T00:00:00"/>
    <x v="2"/>
    <s v="Keyboard"/>
    <s v="Card"/>
    <x v="20"/>
    <x v="1"/>
  </r>
  <r>
    <d v="2026-02-25T00:00:00"/>
    <x v="1"/>
    <s v="Fuel"/>
    <s v="Cash"/>
    <x v="44"/>
    <x v="1"/>
  </r>
  <r>
    <d v="2026-02-26T00:00:00"/>
    <x v="3"/>
    <s v="Music App"/>
    <s v="UPI"/>
    <x v="45"/>
    <x v="1"/>
  </r>
  <r>
    <d v="2026-02-27T00:00:00"/>
    <x v="0"/>
    <s v="Burger"/>
    <s v="Card"/>
    <x v="2"/>
    <x v="1"/>
  </r>
  <r>
    <d v="2026-02-28T00:00:00"/>
    <x v="5"/>
    <s v="Dental Checkup"/>
    <s v="Cash"/>
    <x v="46"/>
    <x v="1"/>
  </r>
  <r>
    <d v="2026-03-01T00:00:00"/>
    <x v="0"/>
    <s v="Lunch"/>
    <s v="UPI"/>
    <x v="27"/>
    <x v="2"/>
  </r>
  <r>
    <d v="2026-03-02T00:00:00"/>
    <x v="2"/>
    <s v="Hoodie"/>
    <s v="Card"/>
    <x v="47"/>
    <x v="2"/>
  </r>
  <r>
    <d v="2026-03-03T00:00:00"/>
    <x v="4"/>
    <s v="Electricity Bill"/>
    <s v="UPI"/>
    <x v="48"/>
    <x v="2"/>
  </r>
  <r>
    <d v="2026-03-04T00:00:00"/>
    <x v="1"/>
    <s v="Auto Fare"/>
    <s v="Cash"/>
    <x v="16"/>
    <x v="2"/>
  </r>
  <r>
    <d v="2026-03-05T00:00:00"/>
    <x v="3"/>
    <s v="Movie"/>
    <s v="Card"/>
    <x v="33"/>
    <x v="2"/>
  </r>
  <r>
    <d v="2026-03-06T00:00:00"/>
    <x v="0"/>
    <s v="Coffee"/>
    <s v="UPI"/>
    <x v="49"/>
    <x v="2"/>
  </r>
  <r>
    <d v="2026-03-07T00:00:00"/>
    <x v="6"/>
    <s v="Data Analytics Book"/>
    <s v="Card"/>
    <x v="37"/>
    <x v="2"/>
  </r>
  <r>
    <d v="2026-03-08T00:00:00"/>
    <x v="0"/>
    <s v="Dinner"/>
    <s v="Cash"/>
    <x v="21"/>
    <x v="2"/>
  </r>
  <r>
    <d v="2026-03-09T00:00:00"/>
    <x v="1"/>
    <s v="Train Ticket"/>
    <s v="UPI"/>
    <x v="3"/>
    <x v="2"/>
  </r>
  <r>
    <d v="2026-03-10T00:00:00"/>
    <x v="2"/>
    <s v="Mouse"/>
    <s v="Card"/>
    <x v="12"/>
    <x v="2"/>
  </r>
  <r>
    <d v="2026-03-11T00:00:00"/>
    <x v="4"/>
    <s v="Mobile Recharge"/>
    <s v="UPI"/>
    <x v="50"/>
    <x v="2"/>
  </r>
  <r>
    <d v="2026-03-12T00:00:00"/>
    <x v="0"/>
    <s v="Snacks"/>
    <s v="Cash"/>
    <x v="24"/>
    <x v="2"/>
  </r>
  <r>
    <d v="2026-03-13T00:00:00"/>
    <x v="5"/>
    <s v="Medicine"/>
    <s v="Card"/>
    <x v="32"/>
    <x v="2"/>
  </r>
  <r>
    <d v="2026-03-14T00:00:00"/>
    <x v="3"/>
    <s v="Gaming"/>
    <s v="UPI"/>
    <x v="13"/>
    <x v="2"/>
  </r>
  <r>
    <d v="2026-03-15T00:00:00"/>
    <x v="0"/>
    <s v="Pizza"/>
    <s v="Card"/>
    <x v="51"/>
    <x v="2"/>
  </r>
  <r>
    <d v="2026-03-16T00:00:00"/>
    <x v="2"/>
    <s v="Sunglasses"/>
    <s v="Cash"/>
    <x v="23"/>
    <x v="2"/>
  </r>
  <r>
    <d v="2026-03-17T00:00:00"/>
    <x v="1"/>
    <s v="Cab Fare"/>
    <s v="UPI"/>
    <x v="21"/>
    <x v="2"/>
  </r>
  <r>
    <d v="2026-03-18T00:00:00"/>
    <x v="4"/>
    <s v="Internet Bill"/>
    <s v="Card"/>
    <x v="18"/>
    <x v="2"/>
  </r>
  <r>
    <d v="2026-03-19T00:00:00"/>
    <x v="0"/>
    <s v="Breakfast"/>
    <s v="Cash"/>
    <x v="11"/>
    <x v="2"/>
  </r>
  <r>
    <d v="2026-03-20T00:00:00"/>
    <x v="6"/>
    <s v="Excel Practice File"/>
    <s v="UPI"/>
    <x v="45"/>
    <x v="2"/>
  </r>
  <r>
    <d v="2026-03-21T00:00:00"/>
    <x v="2"/>
    <s v="Office Chair"/>
    <s v="Card"/>
    <x v="52"/>
    <x v="2"/>
  </r>
  <r>
    <d v="2026-03-22T00:00:00"/>
    <x v="3"/>
    <s v="IPL Ticket"/>
    <s v="Card"/>
    <x v="53"/>
    <x v="2"/>
  </r>
  <r>
    <d v="2026-03-23T00:00:00"/>
    <x v="0"/>
    <s v="Lunch"/>
    <s v="UPI"/>
    <x v="54"/>
    <x v="2"/>
  </r>
  <r>
    <d v="2026-03-24T00:00:00"/>
    <x v="1"/>
    <s v="Metro Recharge"/>
    <s v="Cash"/>
    <x v="2"/>
    <x v="2"/>
  </r>
  <r>
    <d v="2026-03-25T00:00:00"/>
    <x v="5"/>
    <s v="Eye Checkup"/>
    <s v="Card"/>
    <x v="55"/>
    <x v="2"/>
  </r>
  <r>
    <d v="2026-03-26T00:00:00"/>
    <x v="0"/>
    <s v="Dinner"/>
    <s v="UPI"/>
    <x v="4"/>
    <x v="2"/>
  </r>
  <r>
    <d v="2026-03-27T00:00:00"/>
    <x v="2"/>
    <s v="Pendrive"/>
    <s v="Cash"/>
    <x v="37"/>
    <x v="2"/>
  </r>
  <r>
    <d v="2026-03-28T00:00:00"/>
    <x v="4"/>
    <s v="Water Bill"/>
    <s v="UPI"/>
    <x v="56"/>
    <x v="2"/>
  </r>
  <r>
    <d v="2026-03-29T00:00:00"/>
    <x v="3"/>
    <s v="Subscription"/>
    <s v="Card"/>
    <x v="5"/>
    <x v="2"/>
  </r>
  <r>
    <d v="2026-03-30T00:00:00"/>
    <x v="0"/>
    <s v="Ice Cream"/>
    <s v="Cash"/>
    <x v="6"/>
    <x v="2"/>
  </r>
  <r>
    <d v="2026-03-31T00:00:00"/>
    <x v="1"/>
    <s v="Fuel"/>
    <s v="UPI"/>
    <x v="39"/>
    <x v="2"/>
  </r>
  <r>
    <d v="2026-04-01T00:00:00"/>
    <x v="0"/>
    <s v="Breakfast"/>
    <s v="Cash"/>
    <x v="19"/>
    <x v="3"/>
  </r>
  <r>
    <d v="2026-04-02T00:00:00"/>
    <x v="2"/>
    <s v="Laptop Bag"/>
    <s v="Card"/>
    <x v="14"/>
    <x v="3"/>
  </r>
  <r>
    <d v="2026-04-03T00:00:00"/>
    <x v="4"/>
    <s v="Electricity Bill"/>
    <s v="UPI"/>
    <x v="57"/>
    <x v="3"/>
  </r>
  <r>
    <d v="2026-04-04T00:00:00"/>
    <x v="0"/>
    <s v="Dinner"/>
    <s v="Card"/>
    <x v="58"/>
    <x v="3"/>
  </r>
  <r>
    <d v="2026-04-05T00:00:00"/>
    <x v="1"/>
    <s v="Cab Fare"/>
    <s v="UPI"/>
    <x v="32"/>
    <x v="3"/>
  </r>
  <r>
    <d v="2026-04-06T00:00:00"/>
    <x v="3"/>
    <s v="Bowling"/>
    <s v="Cash"/>
    <x v="46"/>
    <x v="3"/>
  </r>
  <r>
    <d v="2026-04-07T00:00:00"/>
    <x v="5"/>
    <s v="Medicine"/>
    <s v="UPI"/>
    <x v="25"/>
    <x v="3"/>
  </r>
  <r>
    <d v="2026-04-08T00:00:00"/>
    <x v="0"/>
    <s v="Lunch"/>
    <s v="Card"/>
    <x v="9"/>
    <x v="3"/>
  </r>
  <r>
    <d v="2026-04-09T00:00:00"/>
    <x v="2"/>
    <s v="Smart Watch"/>
    <s v="Card"/>
    <x v="59"/>
    <x v="3"/>
  </r>
  <r>
    <d v="2026-04-10T00:00:00"/>
    <x v="4"/>
    <s v="WiFi Recharge"/>
    <s v="UPI"/>
    <x v="2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914FA-1265-4409-BDB4-E5B7729F0159}"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6">
    <pivotField numFmtId="14" showAll="0"/>
    <pivotField axis="axisRow" showAll="0">
      <items count="8">
        <item x="4"/>
        <item x="6"/>
        <item x="3"/>
        <item x="0"/>
        <item x="5"/>
        <item x="2"/>
        <item x="1"/>
        <item t="default"/>
      </items>
    </pivotField>
    <pivotField showAll="0"/>
    <pivotField showAll="0"/>
    <pivotField dataField="1" showAll="0">
      <items count="61">
        <item x="1"/>
        <item x="42"/>
        <item x="7"/>
        <item x="16"/>
        <item x="40"/>
        <item x="6"/>
        <item x="24"/>
        <item x="29"/>
        <item x="11"/>
        <item x="0"/>
        <item x="19"/>
        <item x="49"/>
        <item x="10"/>
        <item x="3"/>
        <item x="35"/>
        <item x="45"/>
        <item x="25"/>
        <item x="27"/>
        <item x="17"/>
        <item x="54"/>
        <item x="9"/>
        <item x="2"/>
        <item x="32"/>
        <item x="5"/>
        <item x="21"/>
        <item x="58"/>
        <item x="4"/>
        <item x="43"/>
        <item x="50"/>
        <item x="33"/>
        <item x="30"/>
        <item x="56"/>
        <item x="41"/>
        <item x="13"/>
        <item x="12"/>
        <item x="22"/>
        <item x="51"/>
        <item x="38"/>
        <item x="55"/>
        <item x="37"/>
        <item x="8"/>
        <item x="46"/>
        <item x="23"/>
        <item x="15"/>
        <item x="57"/>
        <item x="20"/>
        <item x="34"/>
        <item x="48"/>
        <item x="18"/>
        <item x="44"/>
        <item x="26"/>
        <item x="39"/>
        <item x="31"/>
        <item x="14"/>
        <item x="28"/>
        <item x="47"/>
        <item x="53"/>
        <item x="36"/>
        <item x="59"/>
        <item x="52"/>
        <item t="default"/>
      </items>
    </pivotField>
    <pivotField showAll="0">
      <items count="5">
        <item x="0"/>
        <item x="1"/>
        <item x="2"/>
        <item x="3"/>
        <item t="default"/>
      </items>
    </pivotField>
  </pivotFields>
  <rowFields count="1">
    <field x="1"/>
  </rowFields>
  <rowItems count="8">
    <i>
      <x/>
    </i>
    <i>
      <x v="1"/>
    </i>
    <i>
      <x v="2"/>
    </i>
    <i>
      <x v="3"/>
    </i>
    <i>
      <x v="4"/>
    </i>
    <i>
      <x v="5"/>
    </i>
    <i>
      <x v="6"/>
    </i>
    <i t="grand">
      <x/>
    </i>
  </rowItems>
  <colItems count="1">
    <i/>
  </colItems>
  <dataFields count="1">
    <dataField name="Sum of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4014A72B-7A60-42CF-94A1-F5BB2DF98C6A}" sourceName="Amount">
  <pivotTables>
    <pivotTable tabId="4" name="PivotTable1"/>
  </pivotTables>
  <data>
    <tabular pivotCacheId="405532973">
      <items count="60">
        <i x="1" s="1"/>
        <i x="42" s="1"/>
        <i x="7" s="1"/>
        <i x="16" s="1"/>
        <i x="40" s="1"/>
        <i x="6" s="1"/>
        <i x="24" s="1"/>
        <i x="29" s="1"/>
        <i x="11" s="1"/>
        <i x="0" s="1"/>
        <i x="19" s="1"/>
        <i x="49" s="1"/>
        <i x="10" s="1"/>
        <i x="3" s="1"/>
        <i x="35" s="1"/>
        <i x="45" s="1"/>
        <i x="25" s="1"/>
        <i x="27" s="1"/>
        <i x="17" s="1"/>
        <i x="54" s="1"/>
        <i x="9" s="1"/>
        <i x="2" s="1"/>
        <i x="32" s="1"/>
        <i x="5" s="1"/>
        <i x="21" s="1"/>
        <i x="58" s="1"/>
        <i x="4" s="1"/>
        <i x="43" s="1"/>
        <i x="50" s="1"/>
        <i x="33" s="1"/>
        <i x="30" s="1"/>
        <i x="56" s="1"/>
        <i x="41" s="1"/>
        <i x="13" s="1"/>
        <i x="12" s="1"/>
        <i x="22" s="1"/>
        <i x="51" s="1"/>
        <i x="38" s="1"/>
        <i x="55" s="1"/>
        <i x="37" s="1"/>
        <i x="8" s="1"/>
        <i x="46" s="1"/>
        <i x="23" s="1"/>
        <i x="15" s="1"/>
        <i x="57" s="1"/>
        <i x="20" s="1"/>
        <i x="34" s="1"/>
        <i x="48" s="1"/>
        <i x="18" s="1"/>
        <i x="44" s="1"/>
        <i x="26" s="1"/>
        <i x="39" s="1"/>
        <i x="31" s="1"/>
        <i x="14" s="1"/>
        <i x="28" s="1"/>
        <i x="47" s="1"/>
        <i x="53" s="1"/>
        <i x="36" s="1"/>
        <i x="59" s="1"/>
        <i x="5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B527BC-D1AE-478B-B5FC-015F3F855BCD}" sourceName="Category">
  <pivotTables>
    <pivotTable tabId="4" name="PivotTable1"/>
  </pivotTables>
  <data>
    <tabular pivotCacheId="405532973">
      <items count="7">
        <i x="4" s="1"/>
        <i x="6" s="1"/>
        <i x="3" s="1"/>
        <i x="0" s="1"/>
        <i x="5"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8B84A3-CFC3-4BC2-941C-12BA5D67DEEA}" sourceName="Month">
  <pivotTables>
    <pivotTable tabId="4" name="PivotTable1"/>
  </pivotTables>
  <data>
    <tabular pivotCacheId="405532973">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mount" xr10:uid="{1803B5BC-80BE-485A-B854-BD34D37DA926}" cache="Slicer_Amount" caption="Amount"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87570C3-00F0-4CB2-A8B9-B6E0F1F4CF8C}" cache="Slicer_Category" caption="Category" style="SlicerStyleDark1" rowHeight="247650"/>
  <slicer name="Month" xr10:uid="{F95BC979-6725-471E-B64E-1D26B819CD8D}" cache="Slicer_Month" caption="Month"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E93880-D809-43FA-B61A-88DB7DD3963A}" name="Table1" displayName="Table1" ref="A1:F101" totalsRowShown="0" headerRowDxfId="18" dataDxfId="17">
  <autoFilter ref="A1:F101" xr:uid="{E6E93880-D809-43FA-B61A-88DB7DD3963A}"/>
  <tableColumns count="6">
    <tableColumn id="1" xr3:uid="{5E131C66-13F6-4371-BBEC-BC9F4799A760}" name="Date" dataDxfId="16"/>
    <tableColumn id="2" xr3:uid="{F52A504F-0BCE-4FCC-AD5A-78D6921FB4C6}" name="Category" dataDxfId="15"/>
    <tableColumn id="3" xr3:uid="{266172BC-8AF6-48BE-BD68-71E13E9DFA1C}" name="Description" dataDxfId="14"/>
    <tableColumn id="4" xr3:uid="{40A31C91-DA8A-4EB9-9A97-C8FE12D76605}" name="Payment Mode" dataDxfId="13"/>
    <tableColumn id="5" xr3:uid="{5695AD6A-F1B4-4965-8C4A-ECB9961BD16F}" name="Amount" dataDxfId="12"/>
    <tableColumn id="6" xr3:uid="{0F185B0A-2359-45A7-9CE1-CB255CDD3340}" name="Month"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B14853-389E-477B-876D-9B8106193E19}" name="Table3" displayName="Table3" ref="B24:C28" totalsRowShown="0" headerRowDxfId="3" dataDxfId="0">
  <autoFilter ref="B24:C28" xr:uid="{71B14853-389E-477B-876D-9B8106193E19}"/>
  <tableColumns count="2">
    <tableColumn id="1" xr3:uid="{05A2B9DA-F6F6-43E6-86B0-3A5E87D1111A}" name="Month" dataDxfId="2"/>
    <tableColumn id="2" xr3:uid="{6E55442E-62D9-462E-A073-9FC356FADB7C}" name="Total Expense" dataDxfId="1">
      <calculatedColumnFormula>SUMIF('Expense Data'!F:F,B25,'Expense Data'!E:E)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15A2BD-0078-48F2-9C27-9C24D6E2947B}" name="Table2" displayName="Table2" ref="B11:C19" totalsRowShown="0" headerRowDxfId="6" dataDxfId="10" headerRowBorderDxfId="8" tableBorderDxfId="9" totalsRowBorderDxfId="7">
  <autoFilter ref="B11:C19" xr:uid="{1915A2BD-0078-48F2-9C27-9C24D6E2947B}"/>
  <tableColumns count="2">
    <tableColumn id="1" xr3:uid="{2F946A78-F15B-4781-8BBD-1BA36F537F50}" name="Category " dataDxfId="4"/>
    <tableColumn id="2" xr3:uid="{0D173005-08F0-4E29-A349-B3761468A2FC}" name="Total" dataDxfId="5">
      <calculatedColumnFormula>SUMIF('Expense Data'!B:B,B12,'Expense Data'!E:E)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91FD3-7FCA-4214-9FEE-D0E841DAE5AD}">
  <dimension ref="A1:B9"/>
  <sheetViews>
    <sheetView workbookViewId="0">
      <selection activeCell="P9" sqref="P9"/>
    </sheetView>
  </sheetViews>
  <sheetFormatPr defaultRowHeight="14.4" x14ac:dyDescent="0.3"/>
  <cols>
    <col min="1" max="1" width="12.44140625" bestFit="1" customWidth="1"/>
    <col min="2" max="2" width="13.5546875" bestFit="1" customWidth="1"/>
  </cols>
  <sheetData>
    <row r="1" spans="1:2" x14ac:dyDescent="0.3">
      <c r="A1" s="6" t="s">
        <v>88</v>
      </c>
      <c r="B1" t="s">
        <v>90</v>
      </c>
    </row>
    <row r="2" spans="1:2" x14ac:dyDescent="0.3">
      <c r="A2" s="7" t="s">
        <v>19</v>
      </c>
      <c r="B2" s="8">
        <v>7705</v>
      </c>
    </row>
    <row r="3" spans="1:2" x14ac:dyDescent="0.3">
      <c r="A3" s="7" t="s">
        <v>35</v>
      </c>
      <c r="B3" s="8">
        <v>4046</v>
      </c>
    </row>
    <row r="4" spans="1:2" x14ac:dyDescent="0.3">
      <c r="A4" s="7" t="s">
        <v>17</v>
      </c>
      <c r="B4" s="8">
        <v>8467</v>
      </c>
    </row>
    <row r="5" spans="1:2" x14ac:dyDescent="0.3">
      <c r="A5" s="7" t="s">
        <v>6</v>
      </c>
      <c r="B5" s="8">
        <v>6665</v>
      </c>
    </row>
    <row r="6" spans="1:2" x14ac:dyDescent="0.3">
      <c r="A6" s="7" t="s">
        <v>25</v>
      </c>
      <c r="B6" s="8">
        <v>2940</v>
      </c>
    </row>
    <row r="7" spans="1:2" x14ac:dyDescent="0.3">
      <c r="A7" s="7" t="s">
        <v>13</v>
      </c>
      <c r="B7" s="8">
        <v>21718</v>
      </c>
    </row>
    <row r="8" spans="1:2" x14ac:dyDescent="0.3">
      <c r="A8" s="7" t="s">
        <v>10</v>
      </c>
      <c r="B8" s="8">
        <v>4580</v>
      </c>
    </row>
    <row r="9" spans="1:2" x14ac:dyDescent="0.3">
      <c r="A9" s="7" t="s">
        <v>89</v>
      </c>
      <c r="B9" s="8">
        <v>56121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4A7C-5A1B-48B4-BA0B-53F3164C95F8}">
  <dimension ref="A1:F101"/>
  <sheetViews>
    <sheetView tabSelected="1" zoomScale="145" zoomScaleNormal="145" workbookViewId="0">
      <selection activeCell="K9" sqref="K9"/>
    </sheetView>
  </sheetViews>
  <sheetFormatPr defaultRowHeight="14.4" x14ac:dyDescent="0.3"/>
  <cols>
    <col min="1" max="1" width="10.6640625" bestFit="1" customWidth="1"/>
    <col min="2" max="2" width="12.6640625" bestFit="1" customWidth="1"/>
    <col min="3" max="3" width="17.33203125" bestFit="1" customWidth="1"/>
    <col min="4" max="4" width="14.6640625" customWidth="1"/>
    <col min="5" max="5" width="8.77734375" customWidth="1"/>
    <col min="6" max="6" width="8.109375" bestFit="1" customWidth="1"/>
  </cols>
  <sheetData>
    <row r="1" spans="1:6" x14ac:dyDescent="0.3">
      <c r="A1" s="1" t="s">
        <v>0</v>
      </c>
      <c r="B1" s="1" t="s">
        <v>1</v>
      </c>
      <c r="C1" s="1" t="s">
        <v>2</v>
      </c>
      <c r="D1" s="1" t="s">
        <v>3</v>
      </c>
      <c r="E1" s="1" t="s">
        <v>4</v>
      </c>
      <c r="F1" s="1" t="s">
        <v>5</v>
      </c>
    </row>
    <row r="2" spans="1:6" x14ac:dyDescent="0.3">
      <c r="A2" s="2">
        <v>46023</v>
      </c>
      <c r="B2" s="1" t="s">
        <v>6</v>
      </c>
      <c r="C2" s="1" t="s">
        <v>7</v>
      </c>
      <c r="D2" s="1" t="s">
        <v>8</v>
      </c>
      <c r="E2" s="1">
        <v>120</v>
      </c>
      <c r="F2" s="1" t="s">
        <v>9</v>
      </c>
    </row>
    <row r="3" spans="1:6" x14ac:dyDescent="0.3">
      <c r="A3" s="2">
        <v>46024</v>
      </c>
      <c r="B3" s="1" t="s">
        <v>10</v>
      </c>
      <c r="C3" s="1" t="s">
        <v>11</v>
      </c>
      <c r="D3" s="1" t="s">
        <v>12</v>
      </c>
      <c r="E3" s="1">
        <v>40</v>
      </c>
      <c r="F3" s="1" t="s">
        <v>9</v>
      </c>
    </row>
    <row r="4" spans="1:6" x14ac:dyDescent="0.3">
      <c r="A4" s="2">
        <v>46025</v>
      </c>
      <c r="B4" s="1" t="s">
        <v>13</v>
      </c>
      <c r="C4" s="1" t="s">
        <v>14</v>
      </c>
      <c r="D4" s="1" t="s">
        <v>15</v>
      </c>
      <c r="E4" s="1">
        <v>250</v>
      </c>
      <c r="F4" s="1" t="s">
        <v>9</v>
      </c>
    </row>
    <row r="5" spans="1:6" x14ac:dyDescent="0.3">
      <c r="A5" s="2">
        <v>46026</v>
      </c>
      <c r="B5" s="1" t="s">
        <v>6</v>
      </c>
      <c r="C5" s="1" t="s">
        <v>16</v>
      </c>
      <c r="D5" s="1" t="s">
        <v>8</v>
      </c>
      <c r="E5" s="1">
        <v>180</v>
      </c>
      <c r="F5" s="1" t="s">
        <v>9</v>
      </c>
    </row>
    <row r="6" spans="1:6" x14ac:dyDescent="0.3">
      <c r="A6" s="2">
        <v>46027</v>
      </c>
      <c r="B6" s="1" t="s">
        <v>17</v>
      </c>
      <c r="C6" s="1" t="s">
        <v>18</v>
      </c>
      <c r="D6" s="1" t="s">
        <v>15</v>
      </c>
      <c r="E6" s="1">
        <v>320</v>
      </c>
      <c r="F6" s="1" t="s">
        <v>9</v>
      </c>
    </row>
    <row r="7" spans="1:6" x14ac:dyDescent="0.3">
      <c r="A7" s="2">
        <v>46028</v>
      </c>
      <c r="B7" s="1" t="s">
        <v>19</v>
      </c>
      <c r="C7" s="1" t="s">
        <v>20</v>
      </c>
      <c r="D7" s="1" t="s">
        <v>8</v>
      </c>
      <c r="E7" s="1">
        <v>299</v>
      </c>
      <c r="F7" s="1" t="s">
        <v>9</v>
      </c>
    </row>
    <row r="8" spans="1:6" x14ac:dyDescent="0.3">
      <c r="A8" s="2">
        <v>46029</v>
      </c>
      <c r="B8" s="1" t="s">
        <v>6</v>
      </c>
      <c r="C8" s="1" t="s">
        <v>21</v>
      </c>
      <c r="D8" s="1" t="s">
        <v>12</v>
      </c>
      <c r="E8" s="1">
        <v>90</v>
      </c>
      <c r="F8" s="1" t="s">
        <v>9</v>
      </c>
    </row>
    <row r="9" spans="1:6" x14ac:dyDescent="0.3">
      <c r="A9" s="2">
        <v>46030</v>
      </c>
      <c r="B9" s="1" t="s">
        <v>10</v>
      </c>
      <c r="C9" s="1" t="s">
        <v>22</v>
      </c>
      <c r="D9" s="1" t="s">
        <v>12</v>
      </c>
      <c r="E9" s="1">
        <v>70</v>
      </c>
      <c r="F9" s="1" t="s">
        <v>9</v>
      </c>
    </row>
    <row r="10" spans="1:6" x14ac:dyDescent="0.3">
      <c r="A10" s="2">
        <v>46031</v>
      </c>
      <c r="B10" s="1" t="s">
        <v>13</v>
      </c>
      <c r="C10" s="1" t="s">
        <v>23</v>
      </c>
      <c r="D10" s="1" t="s">
        <v>15</v>
      </c>
      <c r="E10" s="1">
        <v>699</v>
      </c>
      <c r="F10" s="1" t="s">
        <v>9</v>
      </c>
    </row>
    <row r="11" spans="1:6" x14ac:dyDescent="0.3">
      <c r="A11" s="2">
        <v>46032</v>
      </c>
      <c r="B11" s="1" t="s">
        <v>6</v>
      </c>
      <c r="C11" s="1" t="s">
        <v>24</v>
      </c>
      <c r="D11" s="1" t="s">
        <v>8</v>
      </c>
      <c r="E11" s="1">
        <v>240</v>
      </c>
      <c r="F11" s="1" t="s">
        <v>9</v>
      </c>
    </row>
    <row r="12" spans="1:6" x14ac:dyDescent="0.3">
      <c r="A12" s="2">
        <v>46033</v>
      </c>
      <c r="B12" s="1" t="s">
        <v>25</v>
      </c>
      <c r="C12" s="1" t="s">
        <v>26</v>
      </c>
      <c r="D12" s="1" t="s">
        <v>12</v>
      </c>
      <c r="E12" s="1">
        <v>150</v>
      </c>
      <c r="F12" s="1" t="s">
        <v>9</v>
      </c>
    </row>
    <row r="13" spans="1:6" x14ac:dyDescent="0.3">
      <c r="A13" s="2">
        <v>46034</v>
      </c>
      <c r="B13" s="1" t="s">
        <v>6</v>
      </c>
      <c r="C13" s="1" t="s">
        <v>27</v>
      </c>
      <c r="D13" s="1" t="s">
        <v>8</v>
      </c>
      <c r="E13" s="1">
        <v>110</v>
      </c>
      <c r="F13" s="1" t="s">
        <v>9</v>
      </c>
    </row>
    <row r="14" spans="1:6" x14ac:dyDescent="0.3">
      <c r="A14" s="2">
        <v>46035</v>
      </c>
      <c r="B14" s="1" t="s">
        <v>10</v>
      </c>
      <c r="C14" s="1" t="s">
        <v>28</v>
      </c>
      <c r="D14" s="1" t="s">
        <v>15</v>
      </c>
      <c r="E14" s="1">
        <v>180</v>
      </c>
      <c r="F14" s="1" t="s">
        <v>9</v>
      </c>
    </row>
    <row r="15" spans="1:6" x14ac:dyDescent="0.3">
      <c r="A15" s="2">
        <v>46036</v>
      </c>
      <c r="B15" s="1" t="s">
        <v>17</v>
      </c>
      <c r="C15" s="1" t="s">
        <v>29</v>
      </c>
      <c r="D15" s="1" t="s">
        <v>8</v>
      </c>
      <c r="E15" s="1">
        <v>499</v>
      </c>
      <c r="F15" s="1" t="s">
        <v>9</v>
      </c>
    </row>
    <row r="16" spans="1:6" x14ac:dyDescent="0.3">
      <c r="A16" s="2">
        <v>46037</v>
      </c>
      <c r="B16" s="1" t="s">
        <v>6</v>
      </c>
      <c r="C16" s="1" t="s">
        <v>30</v>
      </c>
      <c r="D16" s="1" t="s">
        <v>15</v>
      </c>
      <c r="E16" s="1">
        <v>450</v>
      </c>
      <c r="F16" s="1" t="s">
        <v>9</v>
      </c>
    </row>
    <row r="17" spans="1:6" x14ac:dyDescent="0.3">
      <c r="A17" s="2">
        <v>46038</v>
      </c>
      <c r="B17" s="1" t="s">
        <v>13</v>
      </c>
      <c r="C17" s="1" t="s">
        <v>31</v>
      </c>
      <c r="D17" s="1" t="s">
        <v>15</v>
      </c>
      <c r="E17" s="1">
        <v>1499</v>
      </c>
      <c r="F17" s="1" t="s">
        <v>9</v>
      </c>
    </row>
    <row r="18" spans="1:6" x14ac:dyDescent="0.3">
      <c r="A18" s="2">
        <v>46039</v>
      </c>
      <c r="B18" s="1" t="s">
        <v>19</v>
      </c>
      <c r="C18" s="1" t="s">
        <v>32</v>
      </c>
      <c r="D18" s="1" t="s">
        <v>8</v>
      </c>
      <c r="E18" s="1">
        <v>850</v>
      </c>
      <c r="F18" s="1" t="s">
        <v>9</v>
      </c>
    </row>
    <row r="19" spans="1:6" x14ac:dyDescent="0.3">
      <c r="A19" s="2">
        <v>46040</v>
      </c>
      <c r="B19" s="1" t="s">
        <v>6</v>
      </c>
      <c r="C19" s="1" t="s">
        <v>33</v>
      </c>
      <c r="D19" s="1" t="s">
        <v>12</v>
      </c>
      <c r="E19" s="1">
        <v>80</v>
      </c>
      <c r="F19" s="1" t="s">
        <v>9</v>
      </c>
    </row>
    <row r="20" spans="1:6" x14ac:dyDescent="0.3">
      <c r="A20" s="2">
        <v>46041</v>
      </c>
      <c r="B20" s="1" t="s">
        <v>10</v>
      </c>
      <c r="C20" s="1" t="s">
        <v>34</v>
      </c>
      <c r="D20" s="1" t="s">
        <v>8</v>
      </c>
      <c r="E20" s="1">
        <v>220</v>
      </c>
      <c r="F20" s="1" t="s">
        <v>9</v>
      </c>
    </row>
    <row r="21" spans="1:6" x14ac:dyDescent="0.3">
      <c r="A21" s="2">
        <v>46042</v>
      </c>
      <c r="B21" s="1" t="s">
        <v>35</v>
      </c>
      <c r="C21" s="1" t="s">
        <v>36</v>
      </c>
      <c r="D21" s="1" t="s">
        <v>15</v>
      </c>
      <c r="E21" s="1">
        <v>999</v>
      </c>
      <c r="F21" s="1" t="s">
        <v>9</v>
      </c>
    </row>
    <row r="22" spans="1:6" x14ac:dyDescent="0.3">
      <c r="A22" s="2">
        <v>46043</v>
      </c>
      <c r="B22" s="1" t="s">
        <v>6</v>
      </c>
      <c r="C22" s="1" t="s">
        <v>7</v>
      </c>
      <c r="D22" s="1" t="s">
        <v>12</v>
      </c>
      <c r="E22" s="1">
        <v>130</v>
      </c>
      <c r="F22" s="1" t="s">
        <v>9</v>
      </c>
    </row>
    <row r="23" spans="1:6" x14ac:dyDescent="0.3">
      <c r="A23" s="2">
        <v>46044</v>
      </c>
      <c r="B23" s="1" t="s">
        <v>13</v>
      </c>
      <c r="C23" s="1" t="s">
        <v>37</v>
      </c>
      <c r="D23" s="1" t="s">
        <v>15</v>
      </c>
      <c r="E23" s="1">
        <v>899</v>
      </c>
      <c r="F23" s="1" t="s">
        <v>9</v>
      </c>
    </row>
    <row r="24" spans="1:6" x14ac:dyDescent="0.3">
      <c r="A24" s="2">
        <v>46045</v>
      </c>
      <c r="B24" s="1" t="s">
        <v>17</v>
      </c>
      <c r="C24" s="1" t="s">
        <v>38</v>
      </c>
      <c r="D24" s="1" t="s">
        <v>8</v>
      </c>
      <c r="E24" s="1">
        <v>250</v>
      </c>
      <c r="F24" s="1" t="s">
        <v>9</v>
      </c>
    </row>
    <row r="25" spans="1:6" x14ac:dyDescent="0.3">
      <c r="A25" s="2">
        <v>46046</v>
      </c>
      <c r="B25" s="1" t="s">
        <v>6</v>
      </c>
      <c r="C25" s="1" t="s">
        <v>24</v>
      </c>
      <c r="D25" s="1" t="s">
        <v>15</v>
      </c>
      <c r="E25" s="1">
        <v>300</v>
      </c>
      <c r="F25" s="1" t="s">
        <v>9</v>
      </c>
    </row>
    <row r="26" spans="1:6" x14ac:dyDescent="0.3">
      <c r="A26" s="2">
        <v>46047</v>
      </c>
      <c r="B26" s="1" t="s">
        <v>25</v>
      </c>
      <c r="C26" s="1" t="s">
        <v>39</v>
      </c>
      <c r="D26" s="1" t="s">
        <v>12</v>
      </c>
      <c r="E26" s="1">
        <v>500</v>
      </c>
      <c r="F26" s="1" t="s">
        <v>9</v>
      </c>
    </row>
    <row r="27" spans="1:6" x14ac:dyDescent="0.3">
      <c r="A27" s="2">
        <v>46048</v>
      </c>
      <c r="B27" s="1" t="s">
        <v>19</v>
      </c>
      <c r="C27" s="1" t="s">
        <v>40</v>
      </c>
      <c r="D27" s="1" t="s">
        <v>8</v>
      </c>
      <c r="E27" s="1">
        <v>799</v>
      </c>
      <c r="F27" s="1" t="s">
        <v>9</v>
      </c>
    </row>
    <row r="28" spans="1:6" x14ac:dyDescent="0.3">
      <c r="A28" s="2">
        <v>46049</v>
      </c>
      <c r="B28" s="1" t="s">
        <v>6</v>
      </c>
      <c r="C28" s="1" t="s">
        <v>21</v>
      </c>
      <c r="D28" s="1" t="s">
        <v>12</v>
      </c>
      <c r="E28" s="1">
        <v>95</v>
      </c>
      <c r="F28" s="1" t="s">
        <v>9</v>
      </c>
    </row>
    <row r="29" spans="1:6" x14ac:dyDescent="0.3">
      <c r="A29" s="2">
        <v>46050</v>
      </c>
      <c r="B29" s="1" t="s">
        <v>10</v>
      </c>
      <c r="C29" s="1" t="s">
        <v>41</v>
      </c>
      <c r="D29" s="1" t="s">
        <v>8</v>
      </c>
      <c r="E29" s="1">
        <v>200</v>
      </c>
      <c r="F29" s="1" t="s">
        <v>9</v>
      </c>
    </row>
    <row r="30" spans="1:6" x14ac:dyDescent="0.3">
      <c r="A30" s="2">
        <v>46051</v>
      </c>
      <c r="B30" s="1" t="s">
        <v>13</v>
      </c>
      <c r="C30" s="1" t="s">
        <v>42</v>
      </c>
      <c r="D30" s="1" t="s">
        <v>15</v>
      </c>
      <c r="E30" s="1">
        <v>1199</v>
      </c>
      <c r="F30" s="1" t="s">
        <v>9</v>
      </c>
    </row>
    <row r="31" spans="1:6" x14ac:dyDescent="0.3">
      <c r="A31" s="2">
        <v>46052</v>
      </c>
      <c r="B31" s="1" t="s">
        <v>6</v>
      </c>
      <c r="C31" s="1" t="s">
        <v>16</v>
      </c>
      <c r="D31" s="1" t="s">
        <v>8</v>
      </c>
      <c r="E31" s="1">
        <v>210</v>
      </c>
      <c r="F31" s="1" t="s">
        <v>9</v>
      </c>
    </row>
    <row r="32" spans="1:6" x14ac:dyDescent="0.3">
      <c r="A32" s="2">
        <v>46053</v>
      </c>
      <c r="B32" s="1" t="s">
        <v>17</v>
      </c>
      <c r="C32" s="1" t="s">
        <v>43</v>
      </c>
      <c r="D32" s="1" t="s">
        <v>15</v>
      </c>
      <c r="E32" s="1">
        <v>1500</v>
      </c>
      <c r="F32" s="1" t="s">
        <v>9</v>
      </c>
    </row>
    <row r="33" spans="1:6" x14ac:dyDescent="0.3">
      <c r="A33" s="2">
        <v>46054</v>
      </c>
      <c r="B33" s="1" t="s">
        <v>6</v>
      </c>
      <c r="C33" s="1" t="s">
        <v>7</v>
      </c>
      <c r="D33" s="1" t="s">
        <v>12</v>
      </c>
      <c r="E33" s="1">
        <v>100</v>
      </c>
      <c r="F33" s="1" t="s">
        <v>44</v>
      </c>
    </row>
    <row r="34" spans="1:6" x14ac:dyDescent="0.3">
      <c r="A34" s="2">
        <v>46055</v>
      </c>
      <c r="B34" s="1" t="s">
        <v>19</v>
      </c>
      <c r="C34" s="1" t="s">
        <v>45</v>
      </c>
      <c r="D34" s="1" t="s">
        <v>8</v>
      </c>
      <c r="E34" s="1">
        <v>400</v>
      </c>
      <c r="F34" s="1" t="s">
        <v>44</v>
      </c>
    </row>
    <row r="35" spans="1:6" x14ac:dyDescent="0.3">
      <c r="A35" s="2">
        <v>46056</v>
      </c>
      <c r="B35" s="1" t="s">
        <v>13</v>
      </c>
      <c r="C35" s="1" t="s">
        <v>46</v>
      </c>
      <c r="D35" s="1" t="s">
        <v>15</v>
      </c>
      <c r="E35" s="1">
        <v>1299</v>
      </c>
      <c r="F35" s="1" t="s">
        <v>44</v>
      </c>
    </row>
    <row r="36" spans="1:6" x14ac:dyDescent="0.3">
      <c r="A36" s="2">
        <v>46057</v>
      </c>
      <c r="B36" s="1" t="s">
        <v>6</v>
      </c>
      <c r="C36" s="1" t="s">
        <v>24</v>
      </c>
      <c r="D36" s="1" t="s">
        <v>8</v>
      </c>
      <c r="E36" s="1">
        <v>260</v>
      </c>
      <c r="F36" s="1" t="s">
        <v>44</v>
      </c>
    </row>
    <row r="37" spans="1:6" x14ac:dyDescent="0.3">
      <c r="A37" s="2">
        <v>46058</v>
      </c>
      <c r="B37" s="1" t="s">
        <v>35</v>
      </c>
      <c r="C37" s="1" t="s">
        <v>47</v>
      </c>
      <c r="D37" s="1" t="s">
        <v>15</v>
      </c>
      <c r="E37" s="1">
        <v>1499</v>
      </c>
      <c r="F37" s="1" t="s">
        <v>44</v>
      </c>
    </row>
    <row r="38" spans="1:6" x14ac:dyDescent="0.3">
      <c r="A38" s="2">
        <v>46059</v>
      </c>
      <c r="B38" s="1" t="s">
        <v>10</v>
      </c>
      <c r="C38" s="1" t="s">
        <v>48</v>
      </c>
      <c r="D38" s="1" t="s">
        <v>12</v>
      </c>
      <c r="E38" s="1">
        <v>300</v>
      </c>
      <c r="F38" s="1" t="s">
        <v>44</v>
      </c>
    </row>
    <row r="39" spans="1:6" x14ac:dyDescent="0.3">
      <c r="A39" s="2">
        <v>46060</v>
      </c>
      <c r="B39" s="1" t="s">
        <v>6</v>
      </c>
      <c r="C39" s="1" t="s">
        <v>49</v>
      </c>
      <c r="D39" s="1" t="s">
        <v>12</v>
      </c>
      <c r="E39" s="1">
        <v>70</v>
      </c>
      <c r="F39" s="1" t="s">
        <v>44</v>
      </c>
    </row>
    <row r="40" spans="1:6" x14ac:dyDescent="0.3">
      <c r="A40" s="2">
        <v>46061</v>
      </c>
      <c r="B40" s="1" t="s">
        <v>25</v>
      </c>
      <c r="C40" s="1" t="s">
        <v>50</v>
      </c>
      <c r="D40" s="1" t="s">
        <v>8</v>
      </c>
      <c r="E40" s="1">
        <v>350</v>
      </c>
      <c r="F40" s="1" t="s">
        <v>44</v>
      </c>
    </row>
    <row r="41" spans="1:6" x14ac:dyDescent="0.3">
      <c r="A41" s="2">
        <v>46062</v>
      </c>
      <c r="B41" s="1" t="s">
        <v>17</v>
      </c>
      <c r="C41" s="1" t="s">
        <v>51</v>
      </c>
      <c r="D41" s="1" t="s">
        <v>15</v>
      </c>
      <c r="E41" s="1">
        <v>900</v>
      </c>
      <c r="F41" s="1" t="s">
        <v>44</v>
      </c>
    </row>
    <row r="42" spans="1:6" x14ac:dyDescent="0.3">
      <c r="A42" s="2">
        <v>46063</v>
      </c>
      <c r="B42" s="1" t="s">
        <v>6</v>
      </c>
      <c r="C42" s="1" t="s">
        <v>16</v>
      </c>
      <c r="D42" s="1" t="s">
        <v>8</v>
      </c>
      <c r="E42" s="1">
        <v>190</v>
      </c>
      <c r="F42" s="1" t="s">
        <v>44</v>
      </c>
    </row>
    <row r="43" spans="1:6" x14ac:dyDescent="0.3">
      <c r="A43" s="2">
        <v>46064</v>
      </c>
      <c r="B43" s="1" t="s">
        <v>13</v>
      </c>
      <c r="C43" s="1" t="s">
        <v>52</v>
      </c>
      <c r="D43" s="1" t="s">
        <v>15</v>
      </c>
      <c r="E43" s="1">
        <v>1999</v>
      </c>
      <c r="F43" s="1" t="s">
        <v>44</v>
      </c>
    </row>
    <row r="44" spans="1:6" x14ac:dyDescent="0.3">
      <c r="A44" s="2">
        <v>46065</v>
      </c>
      <c r="B44" s="1" t="s">
        <v>10</v>
      </c>
      <c r="C44" s="1" t="s">
        <v>34</v>
      </c>
      <c r="D44" s="1" t="s">
        <v>8</v>
      </c>
      <c r="E44" s="1">
        <v>240</v>
      </c>
      <c r="F44" s="1" t="s">
        <v>44</v>
      </c>
    </row>
    <row r="45" spans="1:6" x14ac:dyDescent="0.3">
      <c r="A45" s="2">
        <v>46066</v>
      </c>
      <c r="B45" s="1" t="s">
        <v>19</v>
      </c>
      <c r="C45" s="1" t="s">
        <v>53</v>
      </c>
      <c r="D45" s="1" t="s">
        <v>12</v>
      </c>
      <c r="E45" s="1">
        <v>650</v>
      </c>
      <c r="F45" s="1" t="s">
        <v>44</v>
      </c>
    </row>
    <row r="46" spans="1:6" x14ac:dyDescent="0.3">
      <c r="A46" s="2">
        <v>46067</v>
      </c>
      <c r="B46" s="1" t="s">
        <v>6</v>
      </c>
      <c r="C46" s="1" t="s">
        <v>54</v>
      </c>
      <c r="D46" s="1" t="s">
        <v>15</v>
      </c>
      <c r="E46" s="1">
        <v>550</v>
      </c>
      <c r="F46" s="1" t="s">
        <v>44</v>
      </c>
    </row>
    <row r="47" spans="1:6" x14ac:dyDescent="0.3">
      <c r="A47" s="2">
        <v>46068</v>
      </c>
      <c r="B47" s="1" t="s">
        <v>17</v>
      </c>
      <c r="C47" s="1" t="s">
        <v>55</v>
      </c>
      <c r="D47" s="1" t="s">
        <v>15</v>
      </c>
      <c r="E47" s="1">
        <v>1200</v>
      </c>
      <c r="F47" s="1" t="s">
        <v>44</v>
      </c>
    </row>
    <row r="48" spans="1:6" x14ac:dyDescent="0.3">
      <c r="A48" s="2">
        <v>46069</v>
      </c>
      <c r="B48" s="1" t="s">
        <v>6</v>
      </c>
      <c r="C48" s="1" t="s">
        <v>21</v>
      </c>
      <c r="D48" s="1" t="s">
        <v>12</v>
      </c>
      <c r="E48" s="1">
        <v>85</v>
      </c>
      <c r="F48" s="1" t="s">
        <v>44</v>
      </c>
    </row>
    <row r="49" spans="1:6" x14ac:dyDescent="0.3">
      <c r="A49" s="2">
        <v>46070</v>
      </c>
      <c r="B49" s="1" t="s">
        <v>13</v>
      </c>
      <c r="C49" s="1" t="s">
        <v>56</v>
      </c>
      <c r="D49" s="1" t="s">
        <v>8</v>
      </c>
      <c r="E49" s="1">
        <v>430</v>
      </c>
      <c r="F49" s="1" t="s">
        <v>44</v>
      </c>
    </row>
    <row r="50" spans="1:6" x14ac:dyDescent="0.3">
      <c r="A50" s="2">
        <v>46071</v>
      </c>
      <c r="B50" s="1" t="s">
        <v>10</v>
      </c>
      <c r="C50" s="1" t="s">
        <v>57</v>
      </c>
      <c r="D50" s="1" t="s">
        <v>12</v>
      </c>
      <c r="E50" s="1">
        <v>60</v>
      </c>
      <c r="F50" s="1" t="s">
        <v>44</v>
      </c>
    </row>
    <row r="51" spans="1:6" x14ac:dyDescent="0.3">
      <c r="A51" s="2">
        <v>46072</v>
      </c>
      <c r="B51" s="1" t="s">
        <v>25</v>
      </c>
      <c r="C51" s="1" t="s">
        <v>58</v>
      </c>
      <c r="D51" s="1" t="s">
        <v>8</v>
      </c>
      <c r="E51" s="1">
        <v>180</v>
      </c>
      <c r="F51" s="1" t="s">
        <v>44</v>
      </c>
    </row>
    <row r="52" spans="1:6" x14ac:dyDescent="0.3">
      <c r="A52" s="2">
        <v>46073</v>
      </c>
      <c r="B52" s="1" t="s">
        <v>6</v>
      </c>
      <c r="C52" s="1" t="s">
        <v>24</v>
      </c>
      <c r="D52" s="1" t="s">
        <v>15</v>
      </c>
      <c r="E52" s="1">
        <v>340</v>
      </c>
      <c r="F52" s="1" t="s">
        <v>44</v>
      </c>
    </row>
    <row r="53" spans="1:6" x14ac:dyDescent="0.3">
      <c r="A53" s="2">
        <v>46074</v>
      </c>
      <c r="B53" s="1" t="s">
        <v>35</v>
      </c>
      <c r="C53" s="1" t="s">
        <v>59</v>
      </c>
      <c r="D53" s="1" t="s">
        <v>8</v>
      </c>
      <c r="E53" s="1">
        <v>699</v>
      </c>
      <c r="F53" s="1" t="s">
        <v>44</v>
      </c>
    </row>
    <row r="54" spans="1:6" x14ac:dyDescent="0.3">
      <c r="A54" s="2">
        <v>46075</v>
      </c>
      <c r="B54" s="1" t="s">
        <v>19</v>
      </c>
      <c r="C54" s="1" t="s">
        <v>60</v>
      </c>
      <c r="D54" s="1" t="s">
        <v>8</v>
      </c>
      <c r="E54" s="1">
        <v>350</v>
      </c>
      <c r="F54" s="1" t="s">
        <v>44</v>
      </c>
    </row>
    <row r="55" spans="1:6" x14ac:dyDescent="0.3">
      <c r="A55" s="2">
        <v>46076</v>
      </c>
      <c r="B55" s="1" t="s">
        <v>6</v>
      </c>
      <c r="C55" s="1" t="s">
        <v>7</v>
      </c>
      <c r="D55" s="1" t="s">
        <v>12</v>
      </c>
      <c r="E55" s="1">
        <v>120</v>
      </c>
      <c r="F55" s="1" t="s">
        <v>44</v>
      </c>
    </row>
    <row r="56" spans="1:6" x14ac:dyDescent="0.3">
      <c r="A56" s="2">
        <v>46077</v>
      </c>
      <c r="B56" s="1" t="s">
        <v>13</v>
      </c>
      <c r="C56" s="1" t="s">
        <v>61</v>
      </c>
      <c r="D56" s="1" t="s">
        <v>15</v>
      </c>
      <c r="E56" s="1">
        <v>899</v>
      </c>
      <c r="F56" s="1" t="s">
        <v>44</v>
      </c>
    </row>
    <row r="57" spans="1:6" x14ac:dyDescent="0.3">
      <c r="A57" s="2">
        <v>46078</v>
      </c>
      <c r="B57" s="1" t="s">
        <v>10</v>
      </c>
      <c r="C57" s="1" t="s">
        <v>62</v>
      </c>
      <c r="D57" s="1" t="s">
        <v>12</v>
      </c>
      <c r="E57" s="1">
        <v>1000</v>
      </c>
      <c r="F57" s="1" t="s">
        <v>44</v>
      </c>
    </row>
    <row r="58" spans="1:6" x14ac:dyDescent="0.3">
      <c r="A58" s="2">
        <v>46079</v>
      </c>
      <c r="B58" s="1" t="s">
        <v>17</v>
      </c>
      <c r="C58" s="1" t="s">
        <v>63</v>
      </c>
      <c r="D58" s="1" t="s">
        <v>8</v>
      </c>
      <c r="E58" s="1">
        <v>199</v>
      </c>
      <c r="F58" s="1" t="s">
        <v>44</v>
      </c>
    </row>
    <row r="59" spans="1:6" x14ac:dyDescent="0.3">
      <c r="A59" s="2">
        <v>46080</v>
      </c>
      <c r="B59" s="1" t="s">
        <v>6</v>
      </c>
      <c r="C59" s="1" t="s">
        <v>64</v>
      </c>
      <c r="D59" s="1" t="s">
        <v>15</v>
      </c>
      <c r="E59" s="1">
        <v>250</v>
      </c>
      <c r="F59" s="1" t="s">
        <v>44</v>
      </c>
    </row>
    <row r="60" spans="1:6" x14ac:dyDescent="0.3">
      <c r="A60" s="2">
        <v>46081</v>
      </c>
      <c r="B60" s="1" t="s">
        <v>25</v>
      </c>
      <c r="C60" s="1" t="s">
        <v>65</v>
      </c>
      <c r="D60" s="1" t="s">
        <v>12</v>
      </c>
      <c r="E60" s="1">
        <v>700</v>
      </c>
      <c r="F60" s="1" t="s">
        <v>44</v>
      </c>
    </row>
    <row r="61" spans="1:6" x14ac:dyDescent="0.3">
      <c r="A61" s="2">
        <v>46082</v>
      </c>
      <c r="B61" s="1" t="s">
        <v>6</v>
      </c>
      <c r="C61" s="1" t="s">
        <v>16</v>
      </c>
      <c r="D61" s="1" t="s">
        <v>8</v>
      </c>
      <c r="E61" s="1">
        <v>210</v>
      </c>
      <c r="F61" s="1" t="s">
        <v>66</v>
      </c>
    </row>
    <row r="62" spans="1:6" x14ac:dyDescent="0.3">
      <c r="A62" s="2">
        <v>46083</v>
      </c>
      <c r="B62" s="1" t="s">
        <v>13</v>
      </c>
      <c r="C62" s="1" t="s">
        <v>67</v>
      </c>
      <c r="D62" s="1" t="s">
        <v>15</v>
      </c>
      <c r="E62" s="1">
        <v>1599</v>
      </c>
      <c r="F62" s="1" t="s">
        <v>66</v>
      </c>
    </row>
    <row r="63" spans="1:6" x14ac:dyDescent="0.3">
      <c r="A63" s="2">
        <v>46084</v>
      </c>
      <c r="B63" s="1" t="s">
        <v>19</v>
      </c>
      <c r="C63" s="1" t="s">
        <v>32</v>
      </c>
      <c r="D63" s="1" t="s">
        <v>8</v>
      </c>
      <c r="E63" s="1">
        <v>920</v>
      </c>
      <c r="F63" s="1" t="s">
        <v>66</v>
      </c>
    </row>
    <row r="64" spans="1:6" x14ac:dyDescent="0.3">
      <c r="A64" s="2">
        <v>46085</v>
      </c>
      <c r="B64" s="1" t="s">
        <v>10</v>
      </c>
      <c r="C64" s="1" t="s">
        <v>22</v>
      </c>
      <c r="D64" s="1" t="s">
        <v>12</v>
      </c>
      <c r="E64" s="1">
        <v>80</v>
      </c>
      <c r="F64" s="1" t="s">
        <v>66</v>
      </c>
    </row>
    <row r="65" spans="1:6" x14ac:dyDescent="0.3">
      <c r="A65" s="2">
        <v>46086</v>
      </c>
      <c r="B65" s="1" t="s">
        <v>17</v>
      </c>
      <c r="C65" s="1" t="s">
        <v>68</v>
      </c>
      <c r="D65" s="1" t="s">
        <v>15</v>
      </c>
      <c r="E65" s="1">
        <v>350</v>
      </c>
      <c r="F65" s="1" t="s">
        <v>66</v>
      </c>
    </row>
    <row r="66" spans="1:6" x14ac:dyDescent="0.3">
      <c r="A66" s="2">
        <v>46087</v>
      </c>
      <c r="B66" s="1" t="s">
        <v>6</v>
      </c>
      <c r="C66" s="1" t="s">
        <v>27</v>
      </c>
      <c r="D66" s="1" t="s">
        <v>8</v>
      </c>
      <c r="E66" s="1">
        <v>140</v>
      </c>
      <c r="F66" s="1" t="s">
        <v>66</v>
      </c>
    </row>
    <row r="67" spans="1:6" x14ac:dyDescent="0.3">
      <c r="A67" s="2">
        <v>46088</v>
      </c>
      <c r="B67" s="1" t="s">
        <v>35</v>
      </c>
      <c r="C67" s="1" t="s">
        <v>69</v>
      </c>
      <c r="D67" s="1" t="s">
        <v>15</v>
      </c>
      <c r="E67" s="1">
        <v>650</v>
      </c>
      <c r="F67" s="1" t="s">
        <v>66</v>
      </c>
    </row>
    <row r="68" spans="1:6" x14ac:dyDescent="0.3">
      <c r="A68" s="2">
        <v>46089</v>
      </c>
      <c r="B68" s="1" t="s">
        <v>6</v>
      </c>
      <c r="C68" s="1" t="s">
        <v>24</v>
      </c>
      <c r="D68" s="1" t="s">
        <v>12</v>
      </c>
      <c r="E68" s="1">
        <v>300</v>
      </c>
      <c r="F68" s="1" t="s">
        <v>66</v>
      </c>
    </row>
    <row r="69" spans="1:6" x14ac:dyDescent="0.3">
      <c r="A69" s="2">
        <v>46090</v>
      </c>
      <c r="B69" s="1" t="s">
        <v>10</v>
      </c>
      <c r="C69" s="1" t="s">
        <v>28</v>
      </c>
      <c r="D69" s="1" t="s">
        <v>8</v>
      </c>
      <c r="E69" s="1">
        <v>180</v>
      </c>
      <c r="F69" s="1" t="s">
        <v>66</v>
      </c>
    </row>
    <row r="70" spans="1:6" x14ac:dyDescent="0.3">
      <c r="A70" s="2">
        <v>46091</v>
      </c>
      <c r="B70" s="1" t="s">
        <v>13</v>
      </c>
      <c r="C70" s="1" t="s">
        <v>70</v>
      </c>
      <c r="D70" s="1" t="s">
        <v>15</v>
      </c>
      <c r="E70" s="1">
        <v>499</v>
      </c>
      <c r="F70" s="1" t="s">
        <v>66</v>
      </c>
    </row>
    <row r="71" spans="1:6" x14ac:dyDescent="0.3">
      <c r="A71" s="2">
        <v>46092</v>
      </c>
      <c r="B71" s="1" t="s">
        <v>19</v>
      </c>
      <c r="C71" s="1" t="s">
        <v>20</v>
      </c>
      <c r="D71" s="1" t="s">
        <v>8</v>
      </c>
      <c r="E71" s="1">
        <v>349</v>
      </c>
      <c r="F71" s="1" t="s">
        <v>66</v>
      </c>
    </row>
    <row r="72" spans="1:6" x14ac:dyDescent="0.3">
      <c r="A72" s="2">
        <v>46093</v>
      </c>
      <c r="B72" s="1" t="s">
        <v>6</v>
      </c>
      <c r="C72" s="1" t="s">
        <v>21</v>
      </c>
      <c r="D72" s="1" t="s">
        <v>12</v>
      </c>
      <c r="E72" s="1">
        <v>95</v>
      </c>
      <c r="F72" s="1" t="s">
        <v>66</v>
      </c>
    </row>
    <row r="73" spans="1:6" x14ac:dyDescent="0.3">
      <c r="A73" s="2">
        <v>46094</v>
      </c>
      <c r="B73" s="1" t="s">
        <v>25</v>
      </c>
      <c r="C73" s="1" t="s">
        <v>26</v>
      </c>
      <c r="D73" s="1" t="s">
        <v>15</v>
      </c>
      <c r="E73" s="1">
        <v>260</v>
      </c>
      <c r="F73" s="1" t="s">
        <v>66</v>
      </c>
    </row>
    <row r="74" spans="1:6" x14ac:dyDescent="0.3">
      <c r="A74" s="2">
        <v>46095</v>
      </c>
      <c r="B74" s="1" t="s">
        <v>17</v>
      </c>
      <c r="C74" s="1" t="s">
        <v>38</v>
      </c>
      <c r="D74" s="1" t="s">
        <v>8</v>
      </c>
      <c r="E74" s="1">
        <v>450</v>
      </c>
      <c r="F74" s="1" t="s">
        <v>66</v>
      </c>
    </row>
    <row r="75" spans="1:6" x14ac:dyDescent="0.3">
      <c r="A75" s="2">
        <v>46096</v>
      </c>
      <c r="B75" s="1" t="s">
        <v>6</v>
      </c>
      <c r="C75" s="1" t="s">
        <v>30</v>
      </c>
      <c r="D75" s="1" t="s">
        <v>15</v>
      </c>
      <c r="E75" s="1">
        <v>520</v>
      </c>
      <c r="F75" s="1" t="s">
        <v>66</v>
      </c>
    </row>
    <row r="76" spans="1:6" x14ac:dyDescent="0.3">
      <c r="A76" s="2">
        <v>46097</v>
      </c>
      <c r="B76" s="1" t="s">
        <v>13</v>
      </c>
      <c r="C76" s="1" t="s">
        <v>71</v>
      </c>
      <c r="D76" s="1" t="s">
        <v>12</v>
      </c>
      <c r="E76" s="1">
        <v>799</v>
      </c>
      <c r="F76" s="1" t="s">
        <v>66</v>
      </c>
    </row>
    <row r="77" spans="1:6" x14ac:dyDescent="0.3">
      <c r="A77" s="2">
        <v>46098</v>
      </c>
      <c r="B77" s="1" t="s">
        <v>10</v>
      </c>
      <c r="C77" s="1" t="s">
        <v>34</v>
      </c>
      <c r="D77" s="1" t="s">
        <v>8</v>
      </c>
      <c r="E77" s="1">
        <v>300</v>
      </c>
      <c r="F77" s="1" t="s">
        <v>66</v>
      </c>
    </row>
    <row r="78" spans="1:6" x14ac:dyDescent="0.3">
      <c r="A78" s="2">
        <v>46099</v>
      </c>
      <c r="B78" s="1" t="s">
        <v>19</v>
      </c>
      <c r="C78" s="1" t="s">
        <v>72</v>
      </c>
      <c r="D78" s="1" t="s">
        <v>15</v>
      </c>
      <c r="E78" s="1">
        <v>999</v>
      </c>
      <c r="F78" s="1" t="s">
        <v>66</v>
      </c>
    </row>
    <row r="79" spans="1:6" x14ac:dyDescent="0.3">
      <c r="A79" s="2">
        <v>46100</v>
      </c>
      <c r="B79" s="1" t="s">
        <v>6</v>
      </c>
      <c r="C79" s="1" t="s">
        <v>7</v>
      </c>
      <c r="D79" s="1" t="s">
        <v>12</v>
      </c>
      <c r="E79" s="1">
        <v>110</v>
      </c>
      <c r="F79" s="1" t="s">
        <v>66</v>
      </c>
    </row>
    <row r="80" spans="1:6" x14ac:dyDescent="0.3">
      <c r="A80" s="2">
        <v>46101</v>
      </c>
      <c r="B80" s="1" t="s">
        <v>35</v>
      </c>
      <c r="C80" s="1" t="s">
        <v>73</v>
      </c>
      <c r="D80" s="1" t="s">
        <v>8</v>
      </c>
      <c r="E80" s="1">
        <v>199</v>
      </c>
      <c r="F80" s="1" t="s">
        <v>66</v>
      </c>
    </row>
    <row r="81" spans="1:6" x14ac:dyDescent="0.3">
      <c r="A81" s="2">
        <v>46102</v>
      </c>
      <c r="B81" s="1" t="s">
        <v>13</v>
      </c>
      <c r="C81" s="1" t="s">
        <v>74</v>
      </c>
      <c r="D81" s="1" t="s">
        <v>15</v>
      </c>
      <c r="E81" s="1">
        <v>4500</v>
      </c>
      <c r="F81" s="1" t="s">
        <v>66</v>
      </c>
    </row>
    <row r="82" spans="1:6" x14ac:dyDescent="0.3">
      <c r="A82" s="2">
        <v>46103</v>
      </c>
      <c r="B82" s="1" t="s">
        <v>17</v>
      </c>
      <c r="C82" s="1" t="s">
        <v>75</v>
      </c>
      <c r="D82" s="1" t="s">
        <v>15</v>
      </c>
      <c r="E82" s="1">
        <v>1800</v>
      </c>
      <c r="F82" s="1" t="s">
        <v>66</v>
      </c>
    </row>
    <row r="83" spans="1:6" x14ac:dyDescent="0.3">
      <c r="A83" s="2">
        <v>46104</v>
      </c>
      <c r="B83" s="1" t="s">
        <v>6</v>
      </c>
      <c r="C83" s="1" t="s">
        <v>16</v>
      </c>
      <c r="D83" s="1" t="s">
        <v>8</v>
      </c>
      <c r="E83" s="1">
        <v>230</v>
      </c>
      <c r="F83" s="1" t="s">
        <v>66</v>
      </c>
    </row>
    <row r="84" spans="1:6" x14ac:dyDescent="0.3">
      <c r="A84" s="2">
        <v>46105</v>
      </c>
      <c r="B84" s="1" t="s">
        <v>10</v>
      </c>
      <c r="C84" s="1" t="s">
        <v>76</v>
      </c>
      <c r="D84" s="1" t="s">
        <v>12</v>
      </c>
      <c r="E84" s="1">
        <v>250</v>
      </c>
      <c r="F84" s="1" t="s">
        <v>66</v>
      </c>
    </row>
    <row r="85" spans="1:6" x14ac:dyDescent="0.3">
      <c r="A85" s="2">
        <v>46106</v>
      </c>
      <c r="B85" s="1" t="s">
        <v>25</v>
      </c>
      <c r="C85" s="1" t="s">
        <v>77</v>
      </c>
      <c r="D85" s="1" t="s">
        <v>15</v>
      </c>
      <c r="E85" s="1">
        <v>600</v>
      </c>
      <c r="F85" s="1" t="s">
        <v>66</v>
      </c>
    </row>
    <row r="86" spans="1:6" x14ac:dyDescent="0.3">
      <c r="A86" s="2">
        <v>46107</v>
      </c>
      <c r="B86" s="1" t="s">
        <v>6</v>
      </c>
      <c r="C86" s="1" t="s">
        <v>24</v>
      </c>
      <c r="D86" s="1" t="s">
        <v>8</v>
      </c>
      <c r="E86" s="1">
        <v>320</v>
      </c>
      <c r="F86" s="1" t="s">
        <v>66</v>
      </c>
    </row>
    <row r="87" spans="1:6" x14ac:dyDescent="0.3">
      <c r="A87" s="2">
        <v>46108</v>
      </c>
      <c r="B87" s="1" t="s">
        <v>13</v>
      </c>
      <c r="C87" s="1" t="s">
        <v>78</v>
      </c>
      <c r="D87" s="1" t="s">
        <v>12</v>
      </c>
      <c r="E87" s="1">
        <v>650</v>
      </c>
      <c r="F87" s="1" t="s">
        <v>66</v>
      </c>
    </row>
    <row r="88" spans="1:6" x14ac:dyDescent="0.3">
      <c r="A88" s="2">
        <v>46109</v>
      </c>
      <c r="B88" s="1" t="s">
        <v>19</v>
      </c>
      <c r="C88" s="1" t="s">
        <v>45</v>
      </c>
      <c r="D88" s="1" t="s">
        <v>8</v>
      </c>
      <c r="E88" s="1">
        <v>420</v>
      </c>
      <c r="F88" s="1" t="s">
        <v>66</v>
      </c>
    </row>
    <row r="89" spans="1:6" x14ac:dyDescent="0.3">
      <c r="A89" s="2">
        <v>46110</v>
      </c>
      <c r="B89" s="1" t="s">
        <v>17</v>
      </c>
      <c r="C89" s="1" t="s">
        <v>79</v>
      </c>
      <c r="D89" s="1" t="s">
        <v>15</v>
      </c>
      <c r="E89" s="1">
        <v>299</v>
      </c>
      <c r="F89" s="1" t="s">
        <v>66</v>
      </c>
    </row>
    <row r="90" spans="1:6" x14ac:dyDescent="0.3">
      <c r="A90" s="2">
        <v>46111</v>
      </c>
      <c r="B90" s="1" t="s">
        <v>6</v>
      </c>
      <c r="C90" s="1" t="s">
        <v>33</v>
      </c>
      <c r="D90" s="1" t="s">
        <v>12</v>
      </c>
      <c r="E90" s="1">
        <v>90</v>
      </c>
      <c r="F90" s="1" t="s">
        <v>66</v>
      </c>
    </row>
    <row r="91" spans="1:6" x14ac:dyDescent="0.3">
      <c r="A91" s="2">
        <v>46112</v>
      </c>
      <c r="B91" s="1" t="s">
        <v>10</v>
      </c>
      <c r="C91" s="1" t="s">
        <v>62</v>
      </c>
      <c r="D91" s="1" t="s">
        <v>8</v>
      </c>
      <c r="E91" s="1">
        <v>1200</v>
      </c>
      <c r="F91" s="1" t="s">
        <v>66</v>
      </c>
    </row>
    <row r="92" spans="1:6" x14ac:dyDescent="0.3">
      <c r="A92" s="2">
        <v>46113</v>
      </c>
      <c r="B92" s="1" t="s">
        <v>6</v>
      </c>
      <c r="C92" s="1" t="s">
        <v>7</v>
      </c>
      <c r="D92" s="1" t="s">
        <v>12</v>
      </c>
      <c r="E92" s="1">
        <v>130</v>
      </c>
      <c r="F92" s="1" t="s">
        <v>80</v>
      </c>
    </row>
    <row r="93" spans="1:6" x14ac:dyDescent="0.3">
      <c r="A93" s="2">
        <v>46114</v>
      </c>
      <c r="B93" s="1" t="s">
        <v>13</v>
      </c>
      <c r="C93" s="1" t="s">
        <v>81</v>
      </c>
      <c r="D93" s="1" t="s">
        <v>15</v>
      </c>
      <c r="E93" s="1">
        <v>1499</v>
      </c>
      <c r="F93" s="1" t="s">
        <v>80</v>
      </c>
    </row>
    <row r="94" spans="1:6" x14ac:dyDescent="0.3">
      <c r="A94" s="2">
        <v>46115</v>
      </c>
      <c r="B94" s="1" t="s">
        <v>19</v>
      </c>
      <c r="C94" s="1" t="s">
        <v>32</v>
      </c>
      <c r="D94" s="1" t="s">
        <v>8</v>
      </c>
      <c r="E94" s="1">
        <v>870</v>
      </c>
      <c r="F94" s="1" t="s">
        <v>80</v>
      </c>
    </row>
    <row r="95" spans="1:6" x14ac:dyDescent="0.3">
      <c r="A95" s="2">
        <v>46116</v>
      </c>
      <c r="B95" s="1" t="s">
        <v>6</v>
      </c>
      <c r="C95" s="1" t="s">
        <v>24</v>
      </c>
      <c r="D95" s="1" t="s">
        <v>15</v>
      </c>
      <c r="E95" s="1">
        <v>310</v>
      </c>
      <c r="F95" s="1" t="s">
        <v>80</v>
      </c>
    </row>
    <row r="96" spans="1:6" x14ac:dyDescent="0.3">
      <c r="A96" s="2">
        <v>46117</v>
      </c>
      <c r="B96" s="1" t="s">
        <v>10</v>
      </c>
      <c r="C96" s="1" t="s">
        <v>34</v>
      </c>
      <c r="D96" s="1" t="s">
        <v>8</v>
      </c>
      <c r="E96" s="1">
        <v>260</v>
      </c>
      <c r="F96" s="1" t="s">
        <v>80</v>
      </c>
    </row>
    <row r="97" spans="1:6" x14ac:dyDescent="0.3">
      <c r="A97" s="2">
        <v>46118</v>
      </c>
      <c r="B97" s="1" t="s">
        <v>17</v>
      </c>
      <c r="C97" s="1" t="s">
        <v>82</v>
      </c>
      <c r="D97" s="1" t="s">
        <v>12</v>
      </c>
      <c r="E97" s="1">
        <v>700</v>
      </c>
      <c r="F97" s="1" t="s">
        <v>80</v>
      </c>
    </row>
    <row r="98" spans="1:6" x14ac:dyDescent="0.3">
      <c r="A98" s="2">
        <v>46119</v>
      </c>
      <c r="B98" s="1" t="s">
        <v>25</v>
      </c>
      <c r="C98" s="1" t="s">
        <v>26</v>
      </c>
      <c r="D98" s="1" t="s">
        <v>8</v>
      </c>
      <c r="E98" s="1">
        <v>200</v>
      </c>
      <c r="F98" s="1" t="s">
        <v>80</v>
      </c>
    </row>
    <row r="99" spans="1:6" x14ac:dyDescent="0.3">
      <c r="A99" s="2">
        <v>46120</v>
      </c>
      <c r="B99" s="1" t="s">
        <v>6</v>
      </c>
      <c r="C99" s="1" t="s">
        <v>16</v>
      </c>
      <c r="D99" s="1" t="s">
        <v>15</v>
      </c>
      <c r="E99" s="1">
        <v>240</v>
      </c>
      <c r="F99" s="1" t="s">
        <v>80</v>
      </c>
    </row>
    <row r="100" spans="1:6" x14ac:dyDescent="0.3">
      <c r="A100" s="2">
        <v>46121</v>
      </c>
      <c r="B100" s="1" t="s">
        <v>13</v>
      </c>
      <c r="C100" s="1" t="s">
        <v>83</v>
      </c>
      <c r="D100" s="1" t="s">
        <v>15</v>
      </c>
      <c r="E100" s="1">
        <v>2999</v>
      </c>
      <c r="F100" s="1" t="s">
        <v>80</v>
      </c>
    </row>
    <row r="101" spans="1:6" x14ac:dyDescent="0.3">
      <c r="A101" s="2">
        <v>46122</v>
      </c>
      <c r="B101" s="1" t="s">
        <v>19</v>
      </c>
      <c r="C101" s="1" t="s">
        <v>40</v>
      </c>
      <c r="D101" s="1" t="s">
        <v>8</v>
      </c>
      <c r="E101" s="1">
        <v>799</v>
      </c>
      <c r="F101" s="1"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74187-6FE2-4A35-B786-844CA8A22043}">
  <dimension ref="A1:T50"/>
  <sheetViews>
    <sheetView zoomScale="70" zoomScaleNormal="70" workbookViewId="0">
      <selection activeCell="U18" sqref="U18"/>
    </sheetView>
  </sheetViews>
  <sheetFormatPr defaultRowHeight="14.4" x14ac:dyDescent="0.3"/>
  <cols>
    <col min="1" max="1" width="16.77734375" customWidth="1"/>
    <col min="2" max="2" width="18" customWidth="1"/>
    <col min="3" max="3" width="14.33203125" customWidth="1"/>
    <col min="4" max="4" width="12.44140625" bestFit="1" customWidth="1"/>
    <col min="5" max="5" width="9.21875" customWidth="1"/>
  </cols>
  <sheetData>
    <row r="1" spans="1:20" ht="31.2" x14ac:dyDescent="0.6">
      <c r="A1" s="29" t="s">
        <v>91</v>
      </c>
      <c r="B1" s="30"/>
      <c r="C1" s="30"/>
      <c r="D1" s="30"/>
      <c r="E1" s="30"/>
      <c r="F1" s="30"/>
      <c r="G1" s="30"/>
      <c r="H1" s="30"/>
      <c r="I1" s="30"/>
      <c r="J1" s="30"/>
      <c r="K1" s="30"/>
      <c r="L1" s="30"/>
      <c r="M1" s="30"/>
      <c r="N1" s="30"/>
      <c r="O1" s="30"/>
      <c r="P1" s="30"/>
      <c r="Q1" s="30"/>
      <c r="R1" s="9"/>
      <c r="S1" s="9"/>
      <c r="T1" s="10"/>
    </row>
    <row r="2" spans="1:20" x14ac:dyDescent="0.3">
      <c r="A2" s="4"/>
      <c r="B2" s="4"/>
      <c r="C2" s="4"/>
      <c r="D2" s="4"/>
      <c r="E2" s="4"/>
      <c r="F2" s="4"/>
      <c r="G2" s="4"/>
      <c r="H2" s="4"/>
      <c r="I2" s="4"/>
      <c r="J2" s="4"/>
      <c r="K2" s="4"/>
      <c r="L2" s="4"/>
      <c r="M2" s="4"/>
      <c r="N2" s="4"/>
      <c r="O2" s="4"/>
      <c r="P2" s="4"/>
      <c r="Q2" s="4"/>
      <c r="R2" s="4"/>
      <c r="S2" s="4"/>
    </row>
    <row r="3" spans="1:20" x14ac:dyDescent="0.3">
      <c r="A3" s="4"/>
      <c r="B3" s="4"/>
      <c r="C3" s="4"/>
      <c r="D3" s="4"/>
      <c r="E3" s="4"/>
      <c r="F3" s="4"/>
      <c r="G3" s="4"/>
      <c r="H3" s="4"/>
      <c r="I3" s="4"/>
      <c r="J3" s="4"/>
      <c r="K3" s="4"/>
      <c r="L3" s="4"/>
      <c r="M3" s="4"/>
      <c r="N3" s="4"/>
      <c r="O3" s="4"/>
      <c r="P3" s="4"/>
      <c r="Q3" s="4"/>
      <c r="R3" s="4"/>
      <c r="S3" s="4"/>
    </row>
    <row r="4" spans="1:20" x14ac:dyDescent="0.3">
      <c r="A4" s="4"/>
      <c r="B4" s="4"/>
      <c r="C4" s="4"/>
      <c r="D4" s="4"/>
      <c r="E4" s="4"/>
      <c r="F4" s="4"/>
      <c r="G4" s="4"/>
      <c r="H4" s="4"/>
      <c r="I4" s="4"/>
      <c r="J4" s="13"/>
      <c r="K4" s="4"/>
      <c r="L4" s="4"/>
      <c r="M4" s="4"/>
      <c r="N4" s="4"/>
      <c r="O4" s="4"/>
      <c r="P4" s="4"/>
      <c r="Q4" s="4"/>
      <c r="R4" s="4"/>
      <c r="S4" s="4"/>
    </row>
    <row r="5" spans="1:20" x14ac:dyDescent="0.3">
      <c r="A5" s="4"/>
      <c r="B5" s="4"/>
      <c r="C5" s="4"/>
      <c r="D5" s="4"/>
      <c r="E5" s="4"/>
      <c r="F5" s="4"/>
      <c r="G5" s="4"/>
      <c r="H5" s="4"/>
      <c r="I5" s="14"/>
      <c r="J5" s="4"/>
      <c r="K5" s="4"/>
      <c r="L5" s="4"/>
      <c r="M5" s="4"/>
      <c r="N5" s="4"/>
      <c r="O5" s="4"/>
      <c r="P5" s="4"/>
      <c r="Q5" s="4"/>
      <c r="R5" s="4"/>
      <c r="S5" s="4"/>
    </row>
    <row r="6" spans="1:20" x14ac:dyDescent="0.3">
      <c r="A6" s="4"/>
      <c r="B6" s="4"/>
      <c r="C6" s="4"/>
      <c r="D6" s="4"/>
      <c r="E6" s="4"/>
      <c r="F6" s="4"/>
      <c r="G6" s="4"/>
      <c r="H6" s="4"/>
      <c r="I6" s="4"/>
      <c r="J6" s="4"/>
      <c r="K6" s="4"/>
      <c r="L6" s="4"/>
      <c r="M6" s="4"/>
      <c r="N6" s="4"/>
      <c r="O6" s="4"/>
      <c r="P6" s="4"/>
      <c r="Q6" s="4"/>
      <c r="R6" s="4"/>
      <c r="S6" s="4"/>
    </row>
    <row r="7" spans="1:20" x14ac:dyDescent="0.3">
      <c r="A7" s="4"/>
      <c r="B7" s="4"/>
      <c r="C7" s="4"/>
      <c r="D7" s="4"/>
      <c r="E7" s="4"/>
      <c r="F7" s="4"/>
      <c r="G7" s="13"/>
      <c r="H7" s="4"/>
      <c r="I7" s="4"/>
      <c r="J7" s="4"/>
      <c r="K7" s="4"/>
      <c r="L7" s="4"/>
      <c r="M7" s="4"/>
      <c r="N7" s="4"/>
      <c r="O7" s="4"/>
      <c r="P7" s="4"/>
      <c r="Q7" s="4"/>
      <c r="R7" s="4"/>
      <c r="S7" s="4"/>
    </row>
    <row r="8" spans="1:20" x14ac:dyDescent="0.3">
      <c r="A8" s="4"/>
      <c r="B8" s="4"/>
      <c r="C8" s="4"/>
      <c r="D8" s="4"/>
      <c r="E8" s="4"/>
      <c r="F8" s="4"/>
      <c r="G8" s="13"/>
      <c r="H8" s="4"/>
      <c r="I8" s="4"/>
      <c r="J8" s="4"/>
      <c r="K8" s="4"/>
      <c r="L8" s="4"/>
      <c r="M8" s="4"/>
      <c r="N8" s="4"/>
      <c r="O8" s="4"/>
      <c r="P8" s="4"/>
      <c r="Q8" s="4"/>
      <c r="R8" s="4"/>
      <c r="S8" s="4"/>
    </row>
    <row r="9" spans="1:20" x14ac:dyDescent="0.3">
      <c r="A9" s="4"/>
      <c r="B9" s="4"/>
      <c r="C9" s="4"/>
      <c r="D9" s="4"/>
      <c r="E9" s="4"/>
      <c r="F9" s="4"/>
      <c r="G9" s="4"/>
      <c r="H9" s="4"/>
      <c r="I9" s="4"/>
      <c r="J9" s="4"/>
      <c r="K9" s="4"/>
      <c r="L9" s="4"/>
      <c r="M9" s="4"/>
      <c r="N9" s="4"/>
      <c r="O9" s="4"/>
      <c r="P9" s="4"/>
      <c r="Q9" s="4"/>
      <c r="R9" s="4"/>
      <c r="S9" s="4"/>
    </row>
    <row r="10" spans="1:20" x14ac:dyDescent="0.3">
      <c r="A10" s="4"/>
      <c r="B10" s="12" t="s">
        <v>92</v>
      </c>
      <c r="C10" s="12"/>
      <c r="D10" s="4"/>
      <c r="E10" s="4"/>
      <c r="F10" s="4"/>
      <c r="G10" s="4"/>
      <c r="H10" s="4"/>
      <c r="I10" s="4"/>
      <c r="J10" s="4"/>
      <c r="K10" s="4"/>
      <c r="L10" s="4"/>
      <c r="M10" s="4"/>
      <c r="N10" s="4"/>
      <c r="O10" s="4"/>
      <c r="P10" s="4"/>
      <c r="Q10" s="4"/>
      <c r="R10" s="4"/>
      <c r="S10" s="4"/>
    </row>
    <row r="11" spans="1:20" x14ac:dyDescent="0.3">
      <c r="A11" s="4"/>
      <c r="B11" s="17" t="s">
        <v>84</v>
      </c>
      <c r="C11" s="15" t="s">
        <v>85</v>
      </c>
      <c r="D11" s="5"/>
      <c r="E11" s="5"/>
      <c r="F11" s="4"/>
      <c r="G11" s="4"/>
      <c r="H11" s="4"/>
      <c r="I11" s="4"/>
      <c r="J11" s="4"/>
      <c r="K11" s="4"/>
      <c r="L11" s="4"/>
      <c r="M11" s="4"/>
      <c r="N11" s="4"/>
      <c r="O11" s="4"/>
      <c r="P11" s="4"/>
      <c r="Q11" s="4"/>
      <c r="R11" s="4"/>
      <c r="S11" s="4"/>
    </row>
    <row r="12" spans="1:20" x14ac:dyDescent="0.3">
      <c r="A12" s="4"/>
      <c r="B12" s="25" t="s">
        <v>17</v>
      </c>
      <c r="C12" s="26">
        <f>SUMIF('Expense Data'!B:B,B12,'Expense Data'!E:E)</f>
        <v>8467</v>
      </c>
      <c r="D12" s="5"/>
      <c r="E12" s="5"/>
      <c r="F12" s="4"/>
      <c r="G12" s="4"/>
      <c r="H12" s="4"/>
      <c r="I12" s="4"/>
      <c r="J12" s="4"/>
      <c r="K12" s="4"/>
      <c r="L12" s="4"/>
      <c r="M12" s="4"/>
      <c r="N12" s="4"/>
      <c r="O12" s="4"/>
      <c r="P12" s="4"/>
      <c r="Q12" s="4"/>
      <c r="R12" s="4"/>
      <c r="S12" s="4"/>
    </row>
    <row r="13" spans="1:20" x14ac:dyDescent="0.3">
      <c r="A13" s="4"/>
      <c r="B13" s="25" t="s">
        <v>19</v>
      </c>
      <c r="C13" s="26">
        <f>SUMIF('Expense Data'!B:B,B13,'Expense Data'!E:E)</f>
        <v>7705</v>
      </c>
      <c r="D13" s="5"/>
      <c r="E13" s="5"/>
      <c r="F13" s="4"/>
      <c r="G13" s="4"/>
      <c r="H13" s="4"/>
      <c r="I13" s="4"/>
      <c r="J13" s="4"/>
      <c r="K13" s="4"/>
      <c r="L13" s="4"/>
      <c r="M13" s="4"/>
      <c r="N13" s="4"/>
      <c r="O13" s="4"/>
      <c r="P13" s="4"/>
      <c r="Q13" s="4"/>
      <c r="R13" s="4"/>
      <c r="S13" s="4"/>
    </row>
    <row r="14" spans="1:20" x14ac:dyDescent="0.3">
      <c r="A14" s="4"/>
      <c r="B14" s="25" t="s">
        <v>6</v>
      </c>
      <c r="C14" s="26">
        <f>SUMIF('Expense Data'!B:B,B14,'Expense Data'!E:E)</f>
        <v>6665</v>
      </c>
      <c r="D14" s="5"/>
      <c r="E14" s="5"/>
      <c r="F14" s="4"/>
      <c r="G14" s="4"/>
      <c r="H14" s="4"/>
      <c r="I14" s="4"/>
      <c r="J14" s="4"/>
      <c r="K14" s="4"/>
      <c r="L14" s="4"/>
      <c r="M14" s="4"/>
      <c r="N14" s="4"/>
      <c r="O14" s="4"/>
      <c r="P14" s="4"/>
      <c r="Q14" s="4"/>
      <c r="R14" s="4"/>
      <c r="S14" s="4"/>
    </row>
    <row r="15" spans="1:20" x14ac:dyDescent="0.3">
      <c r="A15" s="4"/>
      <c r="B15" s="25" t="s">
        <v>10</v>
      </c>
      <c r="C15" s="26">
        <f>SUMIF('Expense Data'!B:B,B15,'Expense Data'!E:E)</f>
        <v>4580</v>
      </c>
      <c r="D15" s="5"/>
      <c r="E15" s="5"/>
      <c r="F15" s="4"/>
      <c r="G15" s="4"/>
      <c r="H15" s="4"/>
      <c r="I15" s="4"/>
      <c r="J15" s="4"/>
      <c r="K15" s="4"/>
      <c r="L15" s="4"/>
      <c r="M15" s="4"/>
      <c r="N15" s="4"/>
      <c r="O15" s="4"/>
      <c r="P15" s="4"/>
      <c r="Q15" s="4"/>
      <c r="R15" s="4"/>
      <c r="S15" s="4"/>
    </row>
    <row r="16" spans="1:20" x14ac:dyDescent="0.3">
      <c r="A16" s="4"/>
      <c r="B16" s="25" t="s">
        <v>13</v>
      </c>
      <c r="C16" s="26">
        <f>SUMIF('Expense Data'!B:B,B16,'Expense Data'!E:E)</f>
        <v>21718</v>
      </c>
      <c r="D16" s="5"/>
      <c r="E16" s="5"/>
      <c r="F16" s="4"/>
      <c r="G16" s="4"/>
      <c r="H16" s="4"/>
      <c r="I16" s="4"/>
      <c r="J16" s="4"/>
      <c r="K16" s="4"/>
      <c r="L16" s="4"/>
      <c r="M16" s="4"/>
      <c r="N16" s="4"/>
      <c r="O16" s="4"/>
      <c r="P16" s="4"/>
      <c r="Q16" s="4"/>
      <c r="R16" s="4"/>
      <c r="S16" s="4"/>
    </row>
    <row r="17" spans="1:19" x14ac:dyDescent="0.3">
      <c r="A17" s="4"/>
      <c r="B17" s="25" t="s">
        <v>35</v>
      </c>
      <c r="C17" s="26">
        <f>SUMIF('Expense Data'!B:B,B17,'Expense Data'!E:E)</f>
        <v>4046</v>
      </c>
      <c r="D17" s="5"/>
      <c r="E17" s="5"/>
      <c r="F17" s="4"/>
      <c r="G17" s="4"/>
      <c r="H17" s="4"/>
      <c r="I17" s="4"/>
      <c r="J17" s="4"/>
      <c r="K17" s="4"/>
      <c r="L17" s="4"/>
      <c r="M17" s="4"/>
      <c r="N17" s="4"/>
      <c r="O17" s="4"/>
      <c r="P17" s="4"/>
      <c r="Q17" s="4"/>
      <c r="R17" s="4"/>
      <c r="S17" s="4"/>
    </row>
    <row r="18" spans="1:19" x14ac:dyDescent="0.3">
      <c r="A18" s="4"/>
      <c r="B18" s="27" t="s">
        <v>25</v>
      </c>
      <c r="C18" s="28">
        <f>SUMIF('Expense Data'!B:B,B18,'Expense Data'!E:E)</f>
        <v>2940</v>
      </c>
      <c r="D18" s="5"/>
      <c r="E18" s="5"/>
      <c r="F18" s="4"/>
      <c r="G18" s="4"/>
      <c r="H18" s="4"/>
      <c r="I18" s="4"/>
      <c r="J18" s="4"/>
      <c r="K18" s="4"/>
      <c r="L18" s="4"/>
      <c r="M18" s="4"/>
      <c r="N18" s="4"/>
      <c r="O18" s="4"/>
      <c r="P18" s="4"/>
      <c r="Q18" s="4"/>
      <c r="R18" s="4"/>
      <c r="S18" s="4"/>
    </row>
    <row r="19" spans="1:19" x14ac:dyDescent="0.3">
      <c r="A19" s="4"/>
      <c r="B19" s="18" t="s">
        <v>89</v>
      </c>
      <c r="C19" s="16">
        <v>56121</v>
      </c>
      <c r="D19" s="4"/>
      <c r="E19" s="4"/>
      <c r="F19" s="4"/>
      <c r="G19" s="4"/>
      <c r="H19" s="4"/>
      <c r="I19" s="4"/>
      <c r="J19" s="4"/>
      <c r="K19" s="4"/>
      <c r="L19" s="4"/>
      <c r="M19" s="4"/>
      <c r="N19" s="4"/>
      <c r="O19" s="4"/>
      <c r="P19" s="4"/>
      <c r="Q19" s="4"/>
      <c r="R19" s="4"/>
      <c r="S19" s="4"/>
    </row>
    <row r="20" spans="1:19" x14ac:dyDescent="0.3">
      <c r="A20" s="4"/>
      <c r="B20" s="4"/>
      <c r="C20" s="4"/>
      <c r="D20" s="4"/>
      <c r="E20" s="4"/>
      <c r="F20" s="4"/>
      <c r="G20" s="4"/>
      <c r="H20" s="4"/>
      <c r="I20" s="4"/>
      <c r="J20" s="4"/>
      <c r="K20" s="4"/>
      <c r="L20" s="4"/>
      <c r="M20" s="4"/>
      <c r="N20" s="4"/>
      <c r="O20" s="4"/>
      <c r="P20" s="4"/>
      <c r="Q20" s="4"/>
      <c r="R20" s="4"/>
      <c r="S20" s="4"/>
    </row>
    <row r="21" spans="1:19" x14ac:dyDescent="0.3">
      <c r="A21" s="4"/>
      <c r="B21" s="4"/>
      <c r="C21" s="4"/>
      <c r="D21" s="4"/>
      <c r="E21" s="4"/>
      <c r="F21" s="4"/>
      <c r="G21" s="4"/>
      <c r="H21" s="4"/>
      <c r="I21" s="4"/>
      <c r="J21" s="4"/>
      <c r="K21" s="4"/>
      <c r="L21" s="4"/>
      <c r="M21" s="4"/>
      <c r="N21" s="4"/>
      <c r="O21" s="4"/>
      <c r="P21" s="4"/>
      <c r="Q21" s="4"/>
      <c r="R21" s="4"/>
      <c r="S21" s="4"/>
    </row>
    <row r="22" spans="1:19" x14ac:dyDescent="0.3">
      <c r="A22" s="4"/>
      <c r="B22" s="4"/>
      <c r="C22" s="4"/>
      <c r="D22" s="4"/>
      <c r="E22" s="4"/>
      <c r="F22" s="4"/>
      <c r="G22" s="4"/>
      <c r="H22" s="4"/>
      <c r="I22" s="4"/>
      <c r="J22" s="4"/>
      <c r="K22" s="4"/>
      <c r="L22" s="4"/>
      <c r="M22" s="4"/>
      <c r="N22" s="4"/>
      <c r="O22" s="4"/>
      <c r="P22" s="4"/>
      <c r="Q22" s="4"/>
      <c r="R22" s="4"/>
      <c r="S22" s="4"/>
    </row>
    <row r="23" spans="1:19" x14ac:dyDescent="0.3">
      <c r="A23" s="4"/>
      <c r="B23" s="12" t="s">
        <v>93</v>
      </c>
      <c r="C23" s="11"/>
      <c r="D23" s="4"/>
      <c r="E23" s="4"/>
      <c r="F23" s="4"/>
      <c r="G23" s="4"/>
      <c r="H23" s="4"/>
      <c r="I23" s="4"/>
      <c r="J23" s="4"/>
      <c r="K23" s="4"/>
      <c r="L23" s="4"/>
      <c r="M23" s="4"/>
      <c r="N23" s="4"/>
      <c r="O23" s="4"/>
      <c r="P23" s="4"/>
      <c r="Q23" s="4"/>
      <c r="R23" s="4"/>
      <c r="S23" s="4"/>
    </row>
    <row r="24" spans="1:19" x14ac:dyDescent="0.3">
      <c r="A24" s="4"/>
      <c r="B24" s="19" t="s">
        <v>5</v>
      </c>
      <c r="C24" s="20" t="s">
        <v>86</v>
      </c>
      <c r="D24" s="4"/>
      <c r="E24" s="4"/>
      <c r="F24" s="4"/>
      <c r="G24" s="4"/>
      <c r="H24" s="4"/>
      <c r="I24" s="4"/>
      <c r="J24" s="4"/>
      <c r="K24" s="4"/>
      <c r="L24" s="4"/>
      <c r="M24" s="4"/>
      <c r="N24" s="4"/>
      <c r="O24" s="4"/>
      <c r="P24" s="4"/>
      <c r="Q24" s="4"/>
      <c r="R24" s="4"/>
      <c r="S24" s="4"/>
    </row>
    <row r="25" spans="1:19" x14ac:dyDescent="0.3">
      <c r="A25" s="4"/>
      <c r="B25" s="21" t="s">
        <v>9</v>
      </c>
      <c r="C25" s="22">
        <f>SUMIF('Expense Data'!F:F,B25,'Expense Data'!E:E)</f>
        <v>13427</v>
      </c>
      <c r="D25" s="4"/>
      <c r="E25" s="4"/>
      <c r="F25" s="4"/>
      <c r="G25" s="4"/>
      <c r="H25" s="4"/>
      <c r="I25" s="4"/>
      <c r="J25" s="4"/>
      <c r="K25" s="4"/>
      <c r="L25" s="4"/>
      <c r="M25" s="4"/>
      <c r="N25" s="4"/>
      <c r="O25" s="4"/>
      <c r="P25" s="4"/>
      <c r="Q25" s="4"/>
      <c r="R25" s="4"/>
      <c r="S25" s="4"/>
    </row>
    <row r="26" spans="1:19" x14ac:dyDescent="0.3">
      <c r="A26" s="4"/>
      <c r="B26" s="21" t="s">
        <v>44</v>
      </c>
      <c r="C26" s="22">
        <f>SUMIF('Expense Data'!F:F,B26,'Expense Data'!E:E)</f>
        <v>15319</v>
      </c>
      <c r="D26" s="4"/>
      <c r="E26" s="4"/>
      <c r="F26" s="4"/>
      <c r="G26" s="4"/>
      <c r="H26" s="4"/>
      <c r="I26" s="4"/>
      <c r="J26" s="4"/>
      <c r="K26" s="4"/>
      <c r="L26" s="4"/>
      <c r="M26" s="4"/>
      <c r="N26" s="4"/>
      <c r="O26" s="4"/>
      <c r="P26" s="4"/>
      <c r="Q26" s="4"/>
      <c r="R26" s="4"/>
      <c r="S26" s="4"/>
    </row>
    <row r="27" spans="1:19" x14ac:dyDescent="0.3">
      <c r="A27" s="4"/>
      <c r="B27" s="21" t="s">
        <v>66</v>
      </c>
      <c r="C27" s="22">
        <f>SUMIF('Expense Data'!F:F,B27,'Expense Data'!E:E)</f>
        <v>19368</v>
      </c>
      <c r="D27" s="4"/>
      <c r="E27" s="4"/>
      <c r="F27" s="4"/>
      <c r="G27" s="4"/>
      <c r="H27" s="4"/>
      <c r="I27" s="4"/>
      <c r="J27" s="4"/>
      <c r="K27" s="4"/>
      <c r="L27" s="4"/>
      <c r="M27" s="4"/>
      <c r="N27" s="4"/>
      <c r="O27" s="4"/>
      <c r="P27" s="4"/>
      <c r="Q27" s="4"/>
      <c r="R27" s="4"/>
      <c r="S27" s="4"/>
    </row>
    <row r="28" spans="1:19" x14ac:dyDescent="0.3">
      <c r="A28" s="4"/>
      <c r="B28" s="21" t="s">
        <v>80</v>
      </c>
      <c r="C28" s="22">
        <f>SUMIF('Expense Data'!F:F,B28,'Expense Data'!E:E)</f>
        <v>8007</v>
      </c>
      <c r="D28" s="4"/>
      <c r="E28" s="4"/>
      <c r="F28" s="4"/>
      <c r="G28" s="4"/>
      <c r="H28" s="4"/>
      <c r="I28" s="4"/>
      <c r="J28" s="4"/>
      <c r="K28" s="4"/>
      <c r="L28" s="4"/>
      <c r="M28" s="4"/>
      <c r="N28" s="4"/>
      <c r="O28" s="4"/>
      <c r="P28" s="4"/>
      <c r="Q28" s="4"/>
      <c r="R28" s="4"/>
      <c r="S28" s="4"/>
    </row>
    <row r="29" spans="1:19" x14ac:dyDescent="0.3">
      <c r="A29" s="4"/>
      <c r="B29" s="23" t="s">
        <v>89</v>
      </c>
      <c r="C29" s="24">
        <v>56121</v>
      </c>
      <c r="D29" s="4"/>
      <c r="E29" s="4"/>
      <c r="F29" s="4"/>
      <c r="G29" s="4"/>
      <c r="H29" s="4"/>
      <c r="I29" s="4"/>
      <c r="J29" s="4"/>
      <c r="K29" s="4"/>
      <c r="L29" s="4"/>
      <c r="M29" s="4"/>
      <c r="N29" s="4"/>
      <c r="O29" s="4"/>
      <c r="P29" s="4"/>
      <c r="Q29" s="4"/>
      <c r="R29" s="4"/>
      <c r="S29" s="4"/>
    </row>
    <row r="30" spans="1:19" x14ac:dyDescent="0.3">
      <c r="A30" s="4"/>
      <c r="B30" s="4"/>
      <c r="C30" s="4"/>
      <c r="D30" s="4"/>
      <c r="E30" s="4"/>
      <c r="F30" s="4"/>
      <c r="G30" s="4"/>
      <c r="H30" s="4"/>
      <c r="I30" s="4"/>
      <c r="J30" s="4"/>
      <c r="K30" s="4"/>
      <c r="L30" s="4"/>
      <c r="M30" s="4"/>
      <c r="N30" s="4"/>
      <c r="O30" s="4"/>
      <c r="P30" s="4"/>
      <c r="Q30" s="4"/>
      <c r="R30" s="4"/>
      <c r="S30" s="4"/>
    </row>
    <row r="31" spans="1:19" x14ac:dyDescent="0.3">
      <c r="A31" s="4"/>
      <c r="B31" s="4"/>
      <c r="C31" s="4"/>
      <c r="D31" s="4"/>
      <c r="E31" s="4"/>
      <c r="F31" s="4"/>
      <c r="G31" s="4"/>
      <c r="H31" s="4"/>
      <c r="I31" s="4"/>
      <c r="J31" s="4"/>
      <c r="K31" s="4"/>
      <c r="L31" s="4"/>
      <c r="M31" s="4"/>
      <c r="N31" s="4"/>
      <c r="O31" s="4"/>
      <c r="P31" s="4"/>
      <c r="Q31" s="4"/>
      <c r="R31" s="4"/>
      <c r="S31" s="4"/>
    </row>
    <row r="32" spans="1:19" x14ac:dyDescent="0.3">
      <c r="A32" s="4"/>
      <c r="B32" s="4"/>
      <c r="C32" s="4"/>
      <c r="D32" s="4"/>
      <c r="E32" s="4"/>
      <c r="F32" s="4"/>
      <c r="G32" s="4"/>
      <c r="H32" s="4"/>
      <c r="I32" s="4"/>
      <c r="J32" s="4"/>
      <c r="K32" s="4"/>
      <c r="L32" s="4"/>
      <c r="M32" s="4"/>
      <c r="N32" s="4"/>
      <c r="O32" s="4"/>
      <c r="P32" s="4"/>
      <c r="Q32" s="4"/>
      <c r="R32" s="4"/>
      <c r="S32" s="4"/>
    </row>
    <row r="33" spans="1:19" x14ac:dyDescent="0.3">
      <c r="A33" s="4"/>
      <c r="B33" s="4"/>
      <c r="C33" s="4"/>
      <c r="D33" s="4"/>
      <c r="E33" s="4"/>
      <c r="F33" s="4"/>
      <c r="G33" s="4"/>
      <c r="H33" s="4"/>
      <c r="I33" s="4"/>
      <c r="J33" s="4"/>
      <c r="K33" s="4"/>
      <c r="L33" s="4"/>
      <c r="M33" s="4"/>
      <c r="N33" s="4"/>
      <c r="O33" s="4"/>
      <c r="P33" s="4"/>
      <c r="Q33" s="4"/>
      <c r="R33" s="4"/>
      <c r="S33" s="4"/>
    </row>
    <row r="34" spans="1:19" x14ac:dyDescent="0.3">
      <c r="A34" s="4"/>
      <c r="B34" s="4"/>
      <c r="C34" s="4"/>
      <c r="D34" s="4"/>
      <c r="E34" s="4"/>
      <c r="F34" s="4"/>
      <c r="G34" s="4"/>
      <c r="H34" s="4"/>
      <c r="I34" s="4"/>
      <c r="J34" s="4"/>
      <c r="K34" s="4"/>
      <c r="L34" s="4"/>
      <c r="M34" s="4"/>
      <c r="N34" s="4"/>
      <c r="O34" s="4"/>
      <c r="P34" s="4"/>
      <c r="Q34" s="4"/>
      <c r="R34" s="4"/>
      <c r="S34" s="4"/>
    </row>
    <row r="35" spans="1:19" x14ac:dyDescent="0.3">
      <c r="A35" s="4"/>
      <c r="B35" s="4"/>
      <c r="C35" s="4"/>
      <c r="D35" s="4"/>
      <c r="E35" s="4"/>
      <c r="F35" s="4"/>
      <c r="G35" s="4"/>
      <c r="H35" s="4"/>
      <c r="I35" s="4"/>
      <c r="J35" s="4"/>
      <c r="K35" s="4"/>
      <c r="L35" s="4"/>
      <c r="M35" s="4"/>
      <c r="N35" s="4"/>
      <c r="O35" s="4"/>
      <c r="P35" s="4"/>
      <c r="Q35" s="4"/>
      <c r="R35" s="4"/>
      <c r="S35" s="4"/>
    </row>
    <row r="36" spans="1:19" x14ac:dyDescent="0.3">
      <c r="A36" s="4"/>
      <c r="B36" s="4"/>
      <c r="C36" s="4"/>
      <c r="D36" s="4"/>
      <c r="E36" s="4"/>
      <c r="F36" s="4"/>
      <c r="G36" s="4"/>
      <c r="H36" s="4"/>
      <c r="I36" s="4"/>
      <c r="J36" s="4"/>
      <c r="K36" s="4"/>
      <c r="L36" s="4"/>
      <c r="M36" s="4"/>
      <c r="N36" s="4"/>
      <c r="O36" s="4"/>
      <c r="P36" s="4"/>
      <c r="Q36" s="4"/>
      <c r="R36" s="4"/>
      <c r="S36" s="4"/>
    </row>
    <row r="37" spans="1:19" x14ac:dyDescent="0.3">
      <c r="A37" s="4"/>
      <c r="B37" s="4"/>
      <c r="C37" s="4"/>
      <c r="D37" s="4"/>
      <c r="E37" s="4"/>
      <c r="F37" s="4"/>
      <c r="G37" s="4"/>
      <c r="H37" s="4"/>
      <c r="I37" s="4"/>
      <c r="J37" s="4"/>
      <c r="K37" s="4"/>
      <c r="L37" s="4"/>
      <c r="M37" s="4"/>
      <c r="N37" s="4"/>
      <c r="O37" s="4"/>
      <c r="P37" s="4"/>
      <c r="Q37" s="4"/>
      <c r="R37" s="4"/>
      <c r="S37" s="4"/>
    </row>
    <row r="38" spans="1:19" x14ac:dyDescent="0.3">
      <c r="A38" s="4"/>
      <c r="B38" s="4"/>
      <c r="C38" s="4"/>
      <c r="D38" s="4"/>
      <c r="E38" s="4"/>
      <c r="F38" s="4"/>
      <c r="G38" s="4"/>
      <c r="H38" s="4"/>
      <c r="I38" s="4"/>
      <c r="J38" s="4"/>
      <c r="K38" s="4"/>
      <c r="L38" s="4"/>
      <c r="M38" s="4"/>
      <c r="N38" s="4"/>
      <c r="O38" s="4"/>
      <c r="P38" s="4"/>
      <c r="Q38" s="4"/>
      <c r="R38" s="4"/>
      <c r="S38" s="4"/>
    </row>
    <row r="39" spans="1:19" x14ac:dyDescent="0.3">
      <c r="A39" s="4"/>
      <c r="B39" s="4"/>
      <c r="C39" s="4"/>
      <c r="D39" s="4"/>
      <c r="E39" s="4"/>
      <c r="F39" s="4"/>
      <c r="G39" s="4"/>
      <c r="H39" s="4"/>
      <c r="I39" s="4"/>
      <c r="J39" s="4"/>
      <c r="K39" s="4"/>
      <c r="L39" s="4"/>
      <c r="M39" s="4"/>
      <c r="N39" s="4"/>
      <c r="O39" s="4"/>
      <c r="P39" s="4"/>
      <c r="Q39" s="4"/>
      <c r="R39" s="4"/>
      <c r="S39" s="4"/>
    </row>
    <row r="40" spans="1:19" x14ac:dyDescent="0.3">
      <c r="A40" s="4"/>
      <c r="B40" s="4"/>
      <c r="C40" s="4"/>
      <c r="D40" s="4"/>
      <c r="E40" s="4"/>
      <c r="F40" s="4"/>
      <c r="G40" s="4"/>
      <c r="H40" s="4"/>
      <c r="I40" s="4"/>
      <c r="J40" s="4"/>
      <c r="K40" s="4"/>
      <c r="L40" s="4"/>
      <c r="M40" s="4"/>
      <c r="N40" s="4"/>
      <c r="O40" s="4"/>
      <c r="P40" s="4"/>
      <c r="Q40" s="4"/>
      <c r="R40" s="4"/>
      <c r="S40" s="4"/>
    </row>
    <row r="41" spans="1:19" x14ac:dyDescent="0.3">
      <c r="A41" s="4"/>
      <c r="B41" s="4"/>
      <c r="C41" s="4"/>
      <c r="D41" s="4"/>
      <c r="E41" s="4"/>
      <c r="F41" s="4"/>
      <c r="G41" s="4"/>
      <c r="H41" s="4"/>
      <c r="I41" s="4"/>
      <c r="J41" s="4"/>
      <c r="K41" s="4"/>
      <c r="L41" s="4"/>
      <c r="M41" s="4"/>
      <c r="N41" s="4"/>
      <c r="O41" s="4"/>
      <c r="P41" s="4"/>
      <c r="Q41" s="4"/>
      <c r="R41" s="4"/>
      <c r="S41" s="4"/>
    </row>
    <row r="42" spans="1:19" x14ac:dyDescent="0.3">
      <c r="A42" s="4"/>
      <c r="B42" s="4"/>
      <c r="C42" s="4"/>
      <c r="D42" s="4"/>
      <c r="E42" s="4"/>
      <c r="F42" s="4"/>
      <c r="G42" s="4"/>
      <c r="H42" s="4"/>
      <c r="I42" s="4"/>
      <c r="J42" s="4"/>
      <c r="K42" s="4"/>
      <c r="L42" s="4"/>
      <c r="M42" s="4"/>
      <c r="N42" s="4"/>
      <c r="O42" s="4"/>
      <c r="P42" s="4"/>
      <c r="Q42" s="4"/>
      <c r="R42" s="4"/>
      <c r="S42" s="4"/>
    </row>
    <row r="43" spans="1:19" x14ac:dyDescent="0.3">
      <c r="A43" s="4"/>
      <c r="B43" s="4"/>
      <c r="C43" s="4"/>
      <c r="D43" s="4"/>
      <c r="E43" s="4"/>
      <c r="F43" s="4"/>
      <c r="G43" s="4"/>
      <c r="H43" s="4"/>
      <c r="I43" s="4"/>
      <c r="J43" s="4"/>
      <c r="K43" s="4"/>
      <c r="L43" s="4"/>
      <c r="M43" s="4"/>
      <c r="N43" s="4"/>
      <c r="O43" s="4"/>
      <c r="P43" s="4"/>
      <c r="Q43" s="4"/>
      <c r="R43" s="4"/>
      <c r="S43" s="4"/>
    </row>
    <row r="44" spans="1:19" x14ac:dyDescent="0.3">
      <c r="A44" s="4"/>
      <c r="B44" s="4"/>
      <c r="C44" s="4"/>
      <c r="D44" s="4"/>
      <c r="E44" s="4"/>
      <c r="F44" s="4"/>
      <c r="G44" s="4"/>
      <c r="H44" s="4"/>
      <c r="I44" s="4"/>
      <c r="J44" s="4"/>
      <c r="K44" s="4"/>
      <c r="L44" s="4"/>
      <c r="M44" s="4"/>
      <c r="N44" s="4"/>
      <c r="O44" s="4"/>
      <c r="P44" s="4"/>
      <c r="Q44" s="4"/>
      <c r="R44" s="4"/>
      <c r="S44" s="4"/>
    </row>
    <row r="45" spans="1:19" x14ac:dyDescent="0.3">
      <c r="A45" s="4"/>
      <c r="B45" s="4"/>
      <c r="C45" s="4"/>
      <c r="D45" s="4"/>
      <c r="E45" s="4"/>
      <c r="F45" s="4"/>
      <c r="G45" s="4"/>
      <c r="H45" s="4"/>
      <c r="I45" s="4"/>
      <c r="J45" s="4"/>
      <c r="K45" s="4"/>
      <c r="L45" s="4"/>
      <c r="M45" s="4"/>
      <c r="N45" s="4"/>
      <c r="O45" s="4"/>
      <c r="P45" s="4"/>
      <c r="Q45" s="4"/>
      <c r="R45" s="4"/>
      <c r="S45" s="4"/>
    </row>
    <row r="46" spans="1:19" x14ac:dyDescent="0.3">
      <c r="A46" s="4"/>
      <c r="B46" s="4"/>
      <c r="C46" s="4"/>
      <c r="D46" s="4"/>
      <c r="E46" s="4"/>
      <c r="F46" s="4"/>
      <c r="G46" s="4"/>
      <c r="H46" s="4"/>
      <c r="I46" s="4"/>
      <c r="J46" s="4"/>
      <c r="K46" s="4"/>
      <c r="L46" s="4"/>
      <c r="M46" s="4"/>
      <c r="N46" s="4"/>
      <c r="O46" s="4"/>
      <c r="P46" s="4"/>
      <c r="Q46" s="4"/>
      <c r="R46" s="4"/>
      <c r="S46" s="4"/>
    </row>
    <row r="47" spans="1:19" x14ac:dyDescent="0.3">
      <c r="A47" s="4"/>
      <c r="B47" s="4"/>
      <c r="C47" s="4"/>
      <c r="D47" s="4"/>
      <c r="E47" s="4"/>
      <c r="F47" s="4"/>
      <c r="G47" s="4"/>
      <c r="H47" s="4"/>
      <c r="I47" s="4"/>
      <c r="J47" s="4"/>
      <c r="K47" s="4"/>
      <c r="L47" s="4"/>
      <c r="M47" s="4"/>
      <c r="N47" s="4"/>
      <c r="O47" s="4"/>
      <c r="P47" s="4"/>
      <c r="Q47" s="4"/>
      <c r="R47" s="4"/>
      <c r="S47" s="4"/>
    </row>
    <row r="48" spans="1:19" x14ac:dyDescent="0.3">
      <c r="A48" s="4"/>
      <c r="B48" s="4"/>
      <c r="C48" s="4"/>
      <c r="D48" s="4"/>
      <c r="E48" s="4"/>
      <c r="F48" s="4"/>
      <c r="G48" s="4"/>
      <c r="H48" s="4"/>
      <c r="I48" s="4"/>
      <c r="J48" s="4"/>
      <c r="K48" s="4"/>
      <c r="L48" s="4"/>
      <c r="M48" s="4"/>
      <c r="N48" s="4"/>
      <c r="O48" s="4"/>
      <c r="P48" s="4"/>
      <c r="Q48" s="4"/>
      <c r="R48" s="4"/>
      <c r="S48" s="4"/>
    </row>
    <row r="49" spans="1:19" x14ac:dyDescent="0.3">
      <c r="A49" s="4"/>
      <c r="B49" s="4"/>
      <c r="C49" s="4"/>
      <c r="D49" s="4"/>
      <c r="E49" s="4"/>
      <c r="F49" s="4"/>
      <c r="G49" s="4"/>
      <c r="H49" s="4"/>
      <c r="I49" s="4"/>
      <c r="J49" s="4"/>
      <c r="K49" s="4"/>
      <c r="L49" s="4"/>
      <c r="M49" s="4"/>
      <c r="N49" s="4"/>
      <c r="O49" s="4"/>
      <c r="P49" s="4"/>
      <c r="Q49" s="4"/>
      <c r="R49" s="4"/>
      <c r="S49" s="4"/>
    </row>
    <row r="50" spans="1:19" x14ac:dyDescent="0.3">
      <c r="A50" s="4"/>
      <c r="B50" s="4"/>
      <c r="C50" s="4"/>
      <c r="D50" s="4"/>
      <c r="E50" s="4"/>
      <c r="F50" s="4"/>
      <c r="G50" s="4"/>
      <c r="H50" s="4"/>
      <c r="I50" s="4"/>
      <c r="J50" s="4"/>
      <c r="K50" s="4"/>
      <c r="L50" s="4"/>
      <c r="M50" s="4"/>
      <c r="N50" s="4"/>
      <c r="O50" s="4"/>
      <c r="P50" s="4"/>
      <c r="Q50" s="4"/>
      <c r="R50" s="4"/>
      <c r="S50" s="4"/>
    </row>
  </sheetData>
  <mergeCells count="3">
    <mergeCell ref="A1:Q1"/>
    <mergeCell ref="B10:C10"/>
    <mergeCell ref="B23:C23"/>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AC00-5CD2-4421-9B43-28634F9B49E0}">
  <dimension ref="A1:P36"/>
  <sheetViews>
    <sheetView zoomScale="85" zoomScaleNormal="85" workbookViewId="0">
      <selection activeCell="S7" sqref="S7"/>
    </sheetView>
  </sheetViews>
  <sheetFormatPr defaultRowHeight="14.4" x14ac:dyDescent="0.3"/>
  <cols>
    <col min="1" max="1" width="13.88671875" style="1" customWidth="1"/>
    <col min="2" max="2" width="13" style="1" customWidth="1"/>
    <col min="3" max="3" width="24" style="1" customWidth="1"/>
    <col min="4" max="4" width="9.5546875" customWidth="1"/>
    <col min="5" max="5" width="24.44140625" customWidth="1"/>
    <col min="6" max="6" width="28" customWidth="1"/>
  </cols>
  <sheetData>
    <row r="1" spans="1:16" ht="25.8" x14ac:dyDescent="0.5">
      <c r="A1" s="3" t="s">
        <v>87</v>
      </c>
      <c r="B1" s="3"/>
      <c r="C1" s="3"/>
      <c r="D1" s="3"/>
      <c r="E1" s="3"/>
      <c r="F1" s="3"/>
      <c r="G1" s="3"/>
      <c r="H1" s="3"/>
      <c r="I1" s="3"/>
      <c r="J1" s="3"/>
      <c r="K1" s="3"/>
      <c r="L1" s="3"/>
      <c r="M1" s="3"/>
      <c r="N1" s="3"/>
      <c r="O1" s="3"/>
      <c r="P1" s="3"/>
    </row>
    <row r="2" spans="1:16" x14ac:dyDescent="0.3">
      <c r="A2" s="5"/>
      <c r="B2" s="5"/>
      <c r="C2" s="5"/>
      <c r="D2" s="4"/>
      <c r="E2" s="4"/>
      <c r="F2" s="4"/>
      <c r="G2" s="4"/>
      <c r="H2" s="4"/>
      <c r="I2" s="4"/>
      <c r="J2" s="4"/>
      <c r="K2" s="4"/>
      <c r="L2" s="4"/>
      <c r="M2" s="4"/>
      <c r="N2" s="4"/>
      <c r="O2" s="4"/>
      <c r="P2" s="4"/>
    </row>
    <row r="3" spans="1:16" x14ac:dyDescent="0.3">
      <c r="A3" s="4"/>
      <c r="B3" s="5"/>
      <c r="C3" s="4"/>
      <c r="D3" s="4"/>
      <c r="E3" s="4"/>
      <c r="F3" s="4"/>
      <c r="G3" s="4"/>
      <c r="H3" s="4"/>
      <c r="I3" s="4"/>
      <c r="J3" s="4"/>
      <c r="K3" s="4"/>
      <c r="L3" s="4"/>
      <c r="M3" s="4"/>
      <c r="N3" s="4"/>
      <c r="O3" s="4"/>
      <c r="P3" s="4"/>
    </row>
    <row r="4" spans="1:16" x14ac:dyDescent="0.3">
      <c r="A4" s="4"/>
      <c r="B4" s="5"/>
      <c r="C4" s="4"/>
      <c r="D4" s="4"/>
      <c r="E4" s="4"/>
      <c r="F4" s="4"/>
      <c r="G4" s="4"/>
      <c r="H4" s="4"/>
      <c r="I4" s="4"/>
      <c r="J4" s="4"/>
      <c r="K4" s="4"/>
      <c r="L4" s="4"/>
      <c r="M4" s="4"/>
      <c r="N4" s="4"/>
      <c r="O4" s="4"/>
      <c r="P4" s="4"/>
    </row>
    <row r="5" spans="1:16" x14ac:dyDescent="0.3">
      <c r="A5" s="5"/>
      <c r="B5" s="5"/>
      <c r="C5" s="5"/>
      <c r="D5" s="4"/>
      <c r="E5" s="4"/>
      <c r="F5" s="4"/>
      <c r="G5" s="4"/>
      <c r="H5" s="4"/>
      <c r="I5" s="4"/>
      <c r="J5" s="4"/>
      <c r="K5" s="4"/>
      <c r="L5" s="4"/>
      <c r="M5" s="4"/>
      <c r="N5" s="4"/>
      <c r="O5" s="4"/>
      <c r="P5" s="4"/>
    </row>
    <row r="6" spans="1:16" x14ac:dyDescent="0.3">
      <c r="A6" s="5"/>
      <c r="B6" s="5"/>
      <c r="C6" s="5"/>
      <c r="D6" s="4"/>
      <c r="E6" s="4"/>
      <c r="F6" s="4"/>
      <c r="G6" s="4"/>
      <c r="H6" s="4"/>
      <c r="I6" s="4"/>
      <c r="J6" s="4"/>
      <c r="K6" s="4"/>
      <c r="L6" s="4"/>
      <c r="M6" s="4"/>
      <c r="N6" s="4"/>
      <c r="O6" s="4"/>
      <c r="P6" s="4"/>
    </row>
    <row r="7" spans="1:16" x14ac:dyDescent="0.3">
      <c r="A7" s="5"/>
      <c r="B7" s="5"/>
      <c r="C7" s="5"/>
      <c r="D7" s="4"/>
      <c r="E7" s="4"/>
      <c r="F7" s="4"/>
      <c r="G7" s="4"/>
      <c r="H7" s="4"/>
      <c r="I7" s="4"/>
      <c r="J7" s="4"/>
      <c r="K7" s="4"/>
      <c r="L7" s="4"/>
      <c r="M7" s="4"/>
      <c r="N7" s="4"/>
      <c r="O7" s="4"/>
      <c r="P7" s="4"/>
    </row>
    <row r="8" spans="1:16" x14ac:dyDescent="0.3">
      <c r="A8" s="5"/>
      <c r="B8" s="5"/>
      <c r="C8" s="5"/>
      <c r="D8" s="4"/>
      <c r="E8" s="4"/>
      <c r="F8" s="4"/>
      <c r="G8" s="4"/>
      <c r="H8" s="4"/>
      <c r="I8" s="4"/>
      <c r="J8" s="4"/>
      <c r="K8" s="4"/>
      <c r="L8" s="4"/>
      <c r="M8" s="4"/>
      <c r="N8" s="4"/>
      <c r="O8" s="4"/>
      <c r="P8" s="4"/>
    </row>
    <row r="9" spans="1:16" x14ac:dyDescent="0.3">
      <c r="A9" s="5"/>
      <c r="B9" s="5"/>
      <c r="C9" s="5"/>
      <c r="D9" s="4"/>
      <c r="E9" s="4"/>
      <c r="F9" s="4"/>
      <c r="G9" s="4"/>
      <c r="H9" s="4"/>
      <c r="I9" s="4"/>
      <c r="J9" s="4"/>
      <c r="K9" s="4"/>
      <c r="L9" s="4"/>
      <c r="M9" s="4"/>
      <c r="N9" s="4"/>
      <c r="O9" s="4"/>
      <c r="P9" s="4"/>
    </row>
    <row r="10" spans="1:16" x14ac:dyDescent="0.3">
      <c r="A10" s="5"/>
      <c r="B10" s="5"/>
      <c r="C10" s="5"/>
      <c r="D10" s="4"/>
      <c r="E10" s="4"/>
      <c r="F10" s="4"/>
      <c r="G10" s="4"/>
      <c r="H10" s="4"/>
      <c r="I10" s="4"/>
      <c r="J10" s="4"/>
      <c r="K10" s="4"/>
      <c r="L10" s="4"/>
      <c r="M10" s="4"/>
      <c r="N10" s="4"/>
      <c r="O10" s="4"/>
      <c r="P10" s="4"/>
    </row>
    <row r="11" spans="1:16" x14ac:dyDescent="0.3">
      <c r="A11" s="5"/>
      <c r="B11" s="5"/>
      <c r="C11" s="5"/>
      <c r="D11" s="4"/>
      <c r="E11" s="4"/>
      <c r="F11" s="4"/>
      <c r="G11" s="4"/>
      <c r="H11" s="4"/>
      <c r="I11" s="4"/>
      <c r="J11" s="4"/>
      <c r="K11" s="4"/>
      <c r="L11" s="4"/>
      <c r="M11" s="4"/>
      <c r="N11" s="4"/>
      <c r="O11" s="4"/>
      <c r="P11" s="4"/>
    </row>
    <row r="12" spans="1:16" x14ac:dyDescent="0.3">
      <c r="A12" s="5"/>
      <c r="B12" s="5"/>
      <c r="C12" s="5"/>
      <c r="D12" s="4"/>
      <c r="E12" s="4"/>
      <c r="F12" s="4"/>
      <c r="G12" s="4"/>
      <c r="H12" s="4"/>
      <c r="I12" s="4"/>
      <c r="J12" s="4"/>
      <c r="K12" s="4"/>
      <c r="L12" s="4"/>
      <c r="M12" s="4"/>
      <c r="N12" s="4"/>
      <c r="O12" s="4"/>
      <c r="P12" s="4"/>
    </row>
    <row r="13" spans="1:16" x14ac:dyDescent="0.3">
      <c r="A13" s="5"/>
      <c r="B13" s="5"/>
      <c r="C13" s="5"/>
      <c r="D13" s="4"/>
      <c r="E13" s="4"/>
      <c r="F13" s="4"/>
      <c r="G13" s="4"/>
      <c r="H13" s="4"/>
      <c r="I13" s="4"/>
      <c r="J13" s="4"/>
      <c r="K13" s="4"/>
      <c r="L13" s="4"/>
      <c r="M13" s="4"/>
      <c r="N13" s="4"/>
      <c r="O13" s="4"/>
      <c r="P13" s="4"/>
    </row>
    <row r="14" spans="1:16" x14ac:dyDescent="0.3">
      <c r="A14" s="5"/>
      <c r="B14" s="5"/>
      <c r="C14" s="5"/>
      <c r="D14" s="4"/>
      <c r="E14" s="4"/>
      <c r="F14" s="4"/>
      <c r="G14" s="4"/>
      <c r="H14" s="4"/>
      <c r="I14" s="4"/>
      <c r="J14" s="4"/>
      <c r="K14" s="4"/>
      <c r="L14" s="4"/>
      <c r="M14" s="4"/>
      <c r="N14" s="4"/>
      <c r="O14" s="4"/>
      <c r="P14" s="4"/>
    </row>
    <row r="15" spans="1:16" x14ac:dyDescent="0.3">
      <c r="A15" s="5"/>
      <c r="B15" s="5"/>
      <c r="C15" s="5"/>
      <c r="D15" s="4"/>
      <c r="E15" s="4"/>
      <c r="F15" s="4"/>
      <c r="G15" s="4"/>
      <c r="H15" s="4"/>
      <c r="I15" s="4"/>
      <c r="J15" s="4"/>
      <c r="K15" s="4"/>
      <c r="L15" s="4"/>
      <c r="M15" s="4"/>
      <c r="N15" s="4"/>
      <c r="O15" s="4"/>
      <c r="P15" s="4"/>
    </row>
    <row r="16" spans="1:16" x14ac:dyDescent="0.3">
      <c r="A16" s="5"/>
      <c r="B16" s="5"/>
      <c r="C16" s="5"/>
      <c r="D16" s="4"/>
      <c r="E16" s="4"/>
      <c r="F16" s="4"/>
      <c r="G16" s="4"/>
      <c r="H16" s="4"/>
      <c r="I16" s="4"/>
      <c r="J16" s="4"/>
      <c r="K16" s="4"/>
      <c r="L16" s="4"/>
      <c r="M16" s="4"/>
      <c r="N16" s="4"/>
      <c r="O16" s="4"/>
      <c r="P16" s="4"/>
    </row>
    <row r="17" spans="1:16" x14ac:dyDescent="0.3">
      <c r="A17" s="5"/>
      <c r="B17" s="5"/>
      <c r="C17" s="5"/>
      <c r="D17" s="4"/>
      <c r="E17" s="4"/>
      <c r="F17" s="4"/>
      <c r="G17" s="4"/>
      <c r="H17" s="4"/>
      <c r="I17" s="4"/>
      <c r="J17" s="4"/>
      <c r="K17" s="4"/>
      <c r="L17" s="4"/>
      <c r="M17" s="4"/>
      <c r="N17" s="4"/>
      <c r="O17" s="4"/>
      <c r="P17" s="4"/>
    </row>
    <row r="18" spans="1:16" x14ac:dyDescent="0.3">
      <c r="A18" s="5"/>
      <c r="B18" s="5"/>
      <c r="C18" s="5"/>
      <c r="D18" s="4"/>
      <c r="E18" s="4"/>
      <c r="F18" s="4"/>
      <c r="G18" s="4"/>
      <c r="H18" s="4"/>
      <c r="I18" s="4"/>
      <c r="J18" s="4"/>
      <c r="K18" s="4"/>
      <c r="L18" s="4"/>
      <c r="M18" s="4"/>
      <c r="N18" s="4"/>
      <c r="O18" s="4"/>
      <c r="P18" s="4"/>
    </row>
    <row r="19" spans="1:16" x14ac:dyDescent="0.3">
      <c r="A19" s="5"/>
      <c r="B19" s="5"/>
      <c r="C19" s="5"/>
      <c r="D19" s="4"/>
      <c r="E19" s="4"/>
      <c r="F19" s="4"/>
      <c r="G19" s="4"/>
      <c r="H19" s="4"/>
      <c r="I19" s="4"/>
      <c r="J19" s="4"/>
      <c r="K19" s="4"/>
      <c r="L19" s="4"/>
      <c r="M19" s="4"/>
      <c r="N19" s="4"/>
      <c r="O19" s="4"/>
      <c r="P19" s="4"/>
    </row>
    <row r="20" spans="1:16" x14ac:dyDescent="0.3">
      <c r="A20" s="5"/>
      <c r="B20" s="5"/>
      <c r="C20" s="5"/>
      <c r="D20" s="4"/>
      <c r="E20" s="4"/>
      <c r="F20" s="4"/>
      <c r="G20" s="4"/>
      <c r="H20" s="4"/>
      <c r="I20" s="4"/>
      <c r="J20" s="4"/>
      <c r="K20" s="4"/>
      <c r="L20" s="4"/>
      <c r="M20" s="4"/>
      <c r="N20" s="4"/>
      <c r="O20" s="4"/>
      <c r="P20" s="4"/>
    </row>
    <row r="21" spans="1:16" x14ac:dyDescent="0.3">
      <c r="A21" s="5"/>
      <c r="B21" s="5"/>
      <c r="C21" s="5"/>
      <c r="D21" s="4"/>
      <c r="E21" s="4"/>
      <c r="F21" s="4"/>
      <c r="G21" s="4"/>
      <c r="H21" s="4"/>
      <c r="I21" s="4"/>
      <c r="J21" s="4"/>
      <c r="K21" s="4"/>
      <c r="L21" s="4"/>
      <c r="M21" s="4"/>
      <c r="N21" s="4"/>
      <c r="O21" s="4"/>
      <c r="P21" s="4"/>
    </row>
    <row r="22" spans="1:16" x14ac:dyDescent="0.3">
      <c r="A22" s="5"/>
      <c r="B22" s="5"/>
      <c r="C22" s="5"/>
      <c r="D22" s="4"/>
      <c r="E22" s="4"/>
      <c r="F22" s="4"/>
      <c r="G22" s="4"/>
      <c r="H22" s="4"/>
      <c r="I22" s="4"/>
      <c r="J22" s="4"/>
      <c r="K22" s="4"/>
      <c r="L22" s="4"/>
      <c r="M22" s="4"/>
      <c r="N22" s="4"/>
      <c r="O22" s="4"/>
      <c r="P22" s="4"/>
    </row>
    <row r="23" spans="1:16" x14ac:dyDescent="0.3">
      <c r="A23" s="5"/>
      <c r="B23" s="5"/>
      <c r="C23" s="5"/>
      <c r="D23" s="4"/>
      <c r="E23" s="4"/>
      <c r="F23" s="4"/>
      <c r="G23" s="4"/>
      <c r="H23" s="4"/>
      <c r="I23" s="4"/>
      <c r="J23" s="4"/>
      <c r="K23" s="4"/>
      <c r="L23" s="4"/>
      <c r="M23" s="4"/>
      <c r="N23" s="4"/>
      <c r="O23" s="4"/>
      <c r="P23" s="4"/>
    </row>
    <row r="24" spans="1:16" x14ac:dyDescent="0.3">
      <c r="A24" s="5"/>
      <c r="B24" s="5"/>
      <c r="C24" s="5"/>
      <c r="D24" s="4"/>
      <c r="E24" s="4"/>
      <c r="F24" s="4"/>
      <c r="G24" s="4"/>
      <c r="H24" s="4"/>
      <c r="I24" s="4"/>
      <c r="J24" s="4"/>
      <c r="K24" s="4"/>
      <c r="L24" s="4"/>
      <c r="M24" s="4"/>
      <c r="N24" s="4"/>
      <c r="O24" s="4"/>
      <c r="P24" s="4"/>
    </row>
    <row r="25" spans="1:16" x14ac:dyDescent="0.3">
      <c r="A25" s="5"/>
      <c r="B25" s="5"/>
      <c r="C25" s="5"/>
      <c r="D25" s="4"/>
      <c r="E25" s="4"/>
      <c r="F25" s="4"/>
      <c r="G25" s="4"/>
      <c r="H25" s="4"/>
      <c r="I25" s="4"/>
      <c r="J25" s="4"/>
      <c r="K25" s="4"/>
      <c r="L25" s="4"/>
      <c r="M25" s="4"/>
      <c r="N25" s="4"/>
      <c r="O25" s="4"/>
      <c r="P25" s="4"/>
    </row>
    <row r="26" spans="1:16" x14ac:dyDescent="0.3">
      <c r="A26" s="5"/>
      <c r="B26" s="5"/>
      <c r="C26" s="5"/>
      <c r="D26" s="4"/>
      <c r="E26" s="4"/>
      <c r="F26" s="4"/>
      <c r="G26" s="4"/>
      <c r="H26" s="4"/>
      <c r="I26" s="4"/>
      <c r="J26" s="4"/>
      <c r="K26" s="4"/>
      <c r="L26" s="4"/>
      <c r="M26" s="4"/>
      <c r="N26" s="4"/>
      <c r="O26" s="4"/>
      <c r="P26" s="4"/>
    </row>
    <row r="27" spans="1:16" x14ac:dyDescent="0.3">
      <c r="A27" s="5"/>
      <c r="B27" s="5"/>
      <c r="C27" s="5"/>
      <c r="D27" s="4"/>
      <c r="E27" s="4"/>
      <c r="F27" s="4"/>
      <c r="G27" s="4"/>
      <c r="H27" s="4"/>
      <c r="I27" s="4"/>
      <c r="J27" s="4"/>
      <c r="K27" s="4"/>
      <c r="L27" s="4"/>
      <c r="M27" s="4"/>
      <c r="N27" s="4"/>
      <c r="O27" s="4"/>
      <c r="P27" s="4"/>
    </row>
    <row r="28" spans="1:16" x14ac:dyDescent="0.3">
      <c r="A28" s="5"/>
      <c r="B28" s="5"/>
      <c r="C28" s="5"/>
      <c r="D28" s="4"/>
      <c r="E28" s="4"/>
      <c r="F28" s="4"/>
      <c r="G28" s="4"/>
      <c r="H28" s="4"/>
      <c r="I28" s="4"/>
      <c r="J28" s="4"/>
      <c r="K28" s="4"/>
      <c r="L28" s="4"/>
      <c r="M28" s="4"/>
      <c r="N28" s="4"/>
      <c r="O28" s="4"/>
      <c r="P28" s="4"/>
    </row>
    <row r="29" spans="1:16" x14ac:dyDescent="0.3">
      <c r="A29" s="5"/>
      <c r="B29" s="5"/>
      <c r="C29" s="5"/>
      <c r="D29" s="4"/>
      <c r="E29" s="4"/>
      <c r="F29" s="4"/>
      <c r="G29" s="4"/>
      <c r="H29" s="4"/>
      <c r="I29" s="4"/>
      <c r="J29" s="4"/>
      <c r="K29" s="4"/>
      <c r="L29" s="4"/>
      <c r="M29" s="4"/>
      <c r="N29" s="4"/>
      <c r="O29" s="4"/>
      <c r="P29" s="4"/>
    </row>
    <row r="30" spans="1:16" x14ac:dyDescent="0.3">
      <c r="A30" s="5"/>
      <c r="B30" s="5"/>
      <c r="C30" s="5"/>
      <c r="D30" s="4"/>
      <c r="E30" s="4"/>
      <c r="F30" s="4"/>
      <c r="G30" s="4"/>
      <c r="H30" s="4"/>
      <c r="I30" s="4"/>
      <c r="J30" s="4"/>
      <c r="K30" s="4"/>
      <c r="L30" s="4"/>
      <c r="M30" s="4"/>
      <c r="N30" s="4"/>
      <c r="O30" s="4"/>
      <c r="P30" s="4"/>
    </row>
    <row r="31" spans="1:16" x14ac:dyDescent="0.3">
      <c r="A31" s="5"/>
      <c r="B31" s="5"/>
      <c r="C31" s="5"/>
      <c r="D31" s="4"/>
      <c r="E31" s="4"/>
      <c r="F31" s="4"/>
      <c r="G31" s="4"/>
      <c r="H31" s="4"/>
      <c r="I31" s="4"/>
      <c r="J31" s="4"/>
      <c r="K31" s="4"/>
      <c r="L31" s="4"/>
      <c r="M31" s="4"/>
      <c r="N31" s="4"/>
      <c r="O31" s="4"/>
      <c r="P31" s="4"/>
    </row>
    <row r="32" spans="1:16" x14ac:dyDescent="0.3">
      <c r="A32" s="5"/>
      <c r="B32" s="5"/>
      <c r="C32" s="5"/>
      <c r="D32" s="4"/>
      <c r="E32" s="4"/>
      <c r="F32" s="4"/>
      <c r="G32" s="4"/>
      <c r="H32" s="4"/>
      <c r="I32" s="4"/>
      <c r="J32" s="4"/>
      <c r="K32" s="4"/>
      <c r="L32" s="4"/>
      <c r="M32" s="4"/>
      <c r="N32" s="4"/>
      <c r="O32" s="4"/>
      <c r="P32" s="4"/>
    </row>
    <row r="33" spans="1:16" x14ac:dyDescent="0.3">
      <c r="A33" s="5"/>
      <c r="B33" s="5"/>
      <c r="C33" s="5"/>
      <c r="D33" s="4"/>
      <c r="E33" s="4"/>
      <c r="F33" s="4"/>
      <c r="G33" s="4"/>
      <c r="H33" s="4"/>
      <c r="I33" s="4"/>
      <c r="J33" s="4"/>
      <c r="K33" s="4"/>
      <c r="L33" s="4"/>
      <c r="M33" s="4"/>
      <c r="N33" s="4"/>
      <c r="O33" s="4"/>
      <c r="P33" s="4"/>
    </row>
    <row r="34" spans="1:16" x14ac:dyDescent="0.3">
      <c r="A34" s="5"/>
      <c r="B34" s="5"/>
      <c r="C34" s="5"/>
      <c r="D34" s="4"/>
      <c r="E34" s="4"/>
      <c r="F34" s="4"/>
      <c r="G34" s="4"/>
      <c r="H34" s="4"/>
      <c r="I34" s="4"/>
      <c r="J34" s="4"/>
      <c r="K34" s="4"/>
      <c r="L34" s="4"/>
      <c r="M34" s="4"/>
      <c r="N34" s="4"/>
      <c r="O34" s="4"/>
      <c r="P34" s="4"/>
    </row>
    <row r="35" spans="1:16" x14ac:dyDescent="0.3">
      <c r="A35" s="5"/>
      <c r="B35" s="5"/>
      <c r="C35" s="5"/>
      <c r="D35" s="4"/>
      <c r="E35" s="4"/>
      <c r="F35" s="4"/>
      <c r="G35" s="4"/>
      <c r="H35" s="4"/>
      <c r="I35" s="4"/>
      <c r="J35" s="4"/>
      <c r="K35" s="4"/>
      <c r="L35" s="4"/>
      <c r="M35" s="4"/>
      <c r="N35" s="4"/>
      <c r="O35" s="4"/>
      <c r="P35" s="4"/>
    </row>
    <row r="36" spans="1:16" x14ac:dyDescent="0.3">
      <c r="A36" s="5"/>
      <c r="B36" s="5"/>
      <c r="C36" s="5"/>
      <c r="D36" s="4"/>
      <c r="E36" s="4"/>
      <c r="F36" s="4"/>
      <c r="G36" s="4"/>
      <c r="H36" s="4"/>
      <c r="I36" s="4"/>
      <c r="J36" s="4"/>
      <c r="K36" s="4"/>
      <c r="L36" s="4"/>
      <c r="M36" s="4"/>
      <c r="N36" s="4"/>
      <c r="O36" s="4"/>
      <c r="P36" s="4"/>
    </row>
  </sheetData>
  <mergeCells count="1">
    <mergeCell ref="A1:P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Expense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Kannan Nadar</dc:creator>
  <cp:lastModifiedBy>Kannan Nadar</cp:lastModifiedBy>
  <dcterms:created xsi:type="dcterms:W3CDTF">2026-05-10T10:52:32Z</dcterms:created>
  <dcterms:modified xsi:type="dcterms:W3CDTF">2026-05-10T17:10:55Z</dcterms:modified>
</cp:coreProperties>
</file>